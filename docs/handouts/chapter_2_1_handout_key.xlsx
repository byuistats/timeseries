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aigaj\Documents\GitHub\timeseries\docs\handouts\"/>
    </mc:Choice>
  </mc:AlternateContent>
  <xr:revisionPtr revIDLastSave="0" documentId="13_ncr:1_{3FDD2CE0-017F-4926-B06F-C664569D0D70}" xr6:coauthVersionLast="47" xr6:coauthVersionMax="47" xr10:uidLastSave="{00000000-0000-0000-0000-000000000000}"/>
  <bookViews>
    <workbookView xWindow="-110" yWindow="-110" windowWidth="25820" windowHeight="15500" xr2:uid="{CB73943A-C465-40BE-817C-B9991112161C}"/>
  </bookViews>
  <sheets>
    <sheet name="Workbook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F4" i="2" s="1"/>
  <c r="G4" i="2" s="1"/>
  <c r="B12" i="2"/>
  <c r="G8" i="2"/>
  <c r="F8" i="2"/>
  <c r="E8" i="2"/>
  <c r="D8" i="2"/>
  <c r="H8" i="2" s="1"/>
  <c r="F7" i="2"/>
  <c r="G7" i="2" s="1"/>
  <c r="E7" i="2"/>
  <c r="D7" i="2"/>
  <c r="H7" i="2" s="1"/>
  <c r="F6" i="2"/>
  <c r="G6" i="2" s="1"/>
  <c r="D6" i="2"/>
  <c r="E6" i="2" s="1"/>
  <c r="F5" i="2"/>
  <c r="G5" i="2" s="1"/>
  <c r="D5" i="2"/>
  <c r="D4" i="2"/>
  <c r="F3" i="2"/>
  <c r="F9" i="2" s="1"/>
  <c r="D3" i="2"/>
  <c r="H3" i="2" s="1"/>
  <c r="G3" i="2" l="1"/>
  <c r="G9" i="2" s="1"/>
  <c r="B15" i="2" s="1"/>
  <c r="H4" i="2"/>
  <c r="H5" i="2"/>
  <c r="D9" i="2"/>
  <c r="E3" i="2"/>
  <c r="E5" i="2"/>
  <c r="H6" i="2"/>
  <c r="H9" i="2" s="1"/>
  <c r="B16" i="2" s="1"/>
  <c r="E4" i="2"/>
  <c r="E9" i="2" l="1"/>
  <c r="B14" i="2" s="1"/>
  <c r="B17" i="2" s="1"/>
</calcChain>
</file>

<file path=xl/sharedStrings.xml><?xml version="1.0" encoding="utf-8"?>
<sst xmlns="http://schemas.openxmlformats.org/spreadsheetml/2006/main" count="4" uniqueCount="4">
  <si>
    <t>sum</t>
  </si>
  <si>
    <t>t</t>
  </si>
  <si>
    <t xml:space="preserve">
</t>
  </si>
  <si>
    <t>Table 3: Computational Practice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</si>
</sst>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3" tint="0.89999084444715716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228600</xdr:colOff>
      <xdr:row>10</xdr:row>
      <xdr:rowOff>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23C2FDA-35E7-4C93-A879-AFFB6158C042}"/>
            </a:ext>
          </a:extLst>
        </xdr:cNvPr>
        <xdr:cNvSpPr txBox="1"/>
      </xdr:nvSpPr>
      <xdr:spPr>
        <a:xfrm>
          <a:off x="228600" y="2709291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318294</xdr:colOff>
      <xdr:row>1</xdr:row>
      <xdr:rowOff>45593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0F595BB-ABA8-4CAB-AF91-FD7F7B27DAF4}"/>
                </a:ext>
              </a:extLst>
            </xdr:cNvPr>
            <xdr:cNvSpPr txBox="1"/>
          </xdr:nvSpPr>
          <xdr:spPr>
            <a:xfrm>
              <a:off x="1141254" y="66281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0F595BB-ABA8-4CAB-AF91-FD7F7B27DAF4}"/>
                </a:ext>
              </a:extLst>
            </xdr:cNvPr>
            <xdr:cNvSpPr txBox="1"/>
          </xdr:nvSpPr>
          <xdr:spPr>
            <a:xfrm>
              <a:off x="1141254" y="66281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228600</xdr:colOff>
      <xdr:row>10</xdr:row>
      <xdr:rowOff>0</xdr:rowOff>
    </xdr:from>
    <xdr:ext cx="65" cy="172227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F90BC55-84F8-478B-872D-2D5850C4096E}"/>
            </a:ext>
          </a:extLst>
        </xdr:cNvPr>
        <xdr:cNvSpPr txBox="1"/>
      </xdr:nvSpPr>
      <xdr:spPr>
        <a:xfrm>
          <a:off x="228600" y="203263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6</xdr:col>
      <xdr:colOff>601980</xdr:colOff>
      <xdr:row>10</xdr:row>
      <xdr:rowOff>0</xdr:rowOff>
    </xdr:from>
    <xdr:ext cx="65" cy="172227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8892574A-7E4B-4608-97D5-6D7620B37EA2}"/>
            </a:ext>
          </a:extLst>
        </xdr:cNvPr>
        <xdr:cNvSpPr txBox="1"/>
      </xdr:nvSpPr>
      <xdr:spPr>
        <a:xfrm>
          <a:off x="5394960" y="738378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348774</xdr:colOff>
      <xdr:row>1</xdr:row>
      <xdr:rowOff>45593</xdr:rowOff>
    </xdr:from>
    <xdr:ext cx="197298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613BA311-691E-4B5F-8542-E5D7DCA39377}"/>
                </a:ext>
              </a:extLst>
            </xdr:cNvPr>
            <xdr:cNvSpPr txBox="1"/>
          </xdr:nvSpPr>
          <xdr:spPr>
            <a:xfrm>
              <a:off x="1994694" y="662813"/>
              <a:ext cx="197298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613BA311-691E-4B5F-8542-E5D7DCA39377}"/>
                </a:ext>
              </a:extLst>
            </xdr:cNvPr>
            <xdr:cNvSpPr txBox="1"/>
          </xdr:nvSpPr>
          <xdr:spPr>
            <a:xfrm>
              <a:off x="1994694" y="662813"/>
              <a:ext cx="197298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𝑦_𝑡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89694</xdr:colOff>
      <xdr:row>1</xdr:row>
      <xdr:rowOff>60833</xdr:rowOff>
    </xdr:from>
    <xdr:ext cx="510973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A2BD28C7-7DF6-4BE3-AE62-E485A2A753AE}"/>
                </a:ext>
              </a:extLst>
            </xdr:cNvPr>
            <xdr:cNvSpPr txBox="1"/>
          </xdr:nvSpPr>
          <xdr:spPr>
            <a:xfrm>
              <a:off x="2573814" y="678053"/>
              <a:ext cx="51097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400" b="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A2BD28C7-7DF6-4BE3-AE62-E485A2A753AE}"/>
                </a:ext>
              </a:extLst>
            </xdr:cNvPr>
            <xdr:cNvSpPr txBox="1"/>
          </xdr:nvSpPr>
          <xdr:spPr>
            <a:xfrm>
              <a:off x="2573814" y="678053"/>
              <a:ext cx="51097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𝑥_𝑡−𝑥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4</xdr:col>
      <xdr:colOff>89694</xdr:colOff>
      <xdr:row>1</xdr:row>
      <xdr:rowOff>53213</xdr:rowOff>
    </xdr:from>
    <xdr:ext cx="663515" cy="2254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F72E804A-0911-4635-BD88-011BB64E7B38}"/>
                </a:ext>
              </a:extLst>
            </xdr:cNvPr>
            <xdr:cNvSpPr txBox="1"/>
          </xdr:nvSpPr>
          <xdr:spPr>
            <a:xfrm>
              <a:off x="3343434" y="670433"/>
              <a:ext cx="663515" cy="225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400" b="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F72E804A-0911-4635-BD88-011BB64E7B38}"/>
                </a:ext>
              </a:extLst>
            </xdr:cNvPr>
            <xdr:cNvSpPr txBox="1"/>
          </xdr:nvSpPr>
          <xdr:spPr>
            <a:xfrm>
              <a:off x="3343434" y="670433"/>
              <a:ext cx="663515" cy="225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〖(𝑥〗_𝑡−𝑥 ̅)^2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5</xdr:col>
      <xdr:colOff>143034</xdr:colOff>
      <xdr:row>1</xdr:row>
      <xdr:rowOff>53213</xdr:rowOff>
    </xdr:from>
    <xdr:ext cx="514756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906EBCF5-A1BB-42EB-99ED-E1B9F41DBC8D}"/>
                </a:ext>
              </a:extLst>
            </xdr:cNvPr>
            <xdr:cNvSpPr txBox="1"/>
          </xdr:nvSpPr>
          <xdr:spPr>
            <a:xfrm>
              <a:off x="4166394" y="670433"/>
              <a:ext cx="514756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400" b="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906EBCF5-A1BB-42EB-99ED-E1B9F41DBC8D}"/>
                </a:ext>
              </a:extLst>
            </xdr:cNvPr>
            <xdr:cNvSpPr txBox="1"/>
          </xdr:nvSpPr>
          <xdr:spPr>
            <a:xfrm>
              <a:off x="4166394" y="670433"/>
              <a:ext cx="514756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𝑦_𝑡−𝑦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120174</xdr:colOff>
      <xdr:row>1</xdr:row>
      <xdr:rowOff>68453</xdr:rowOff>
    </xdr:from>
    <xdr:ext cx="667299" cy="2254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5EE5E494-7414-4EE3-9A0A-AD829F10593C}"/>
                </a:ext>
              </a:extLst>
            </xdr:cNvPr>
            <xdr:cNvSpPr txBox="1"/>
          </xdr:nvSpPr>
          <xdr:spPr>
            <a:xfrm>
              <a:off x="4913154" y="685673"/>
              <a:ext cx="667299" cy="225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400" b="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5EE5E494-7414-4EE3-9A0A-AD829F10593C}"/>
                </a:ext>
              </a:extLst>
            </xdr:cNvPr>
            <xdr:cNvSpPr txBox="1"/>
          </xdr:nvSpPr>
          <xdr:spPr>
            <a:xfrm>
              <a:off x="4913154" y="685673"/>
              <a:ext cx="667299" cy="225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〖(𝑦〗_𝑡−𝑦 ̅)^2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7</xdr:col>
      <xdr:colOff>30480</xdr:colOff>
      <xdr:row>1</xdr:row>
      <xdr:rowOff>60960</xdr:rowOff>
    </xdr:from>
    <xdr:ext cx="1210395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BED34AB7-E350-49CF-AE3B-AB623288E23A}"/>
                </a:ext>
              </a:extLst>
            </xdr:cNvPr>
            <xdr:cNvSpPr txBox="1"/>
          </xdr:nvSpPr>
          <xdr:spPr>
            <a:xfrm>
              <a:off x="5646420" y="678180"/>
              <a:ext cx="1210395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400" b="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en-US" sz="1400" b="0" i="1">
                        <a:latin typeface="Cambria Math" panose="02040503050406030204" pitchFamily="18" charset="0"/>
                      </a:rPr>
                      <m:t>)(</m:t>
                    </m:r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400" b="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BED34AB7-E350-49CF-AE3B-AB623288E23A}"/>
                </a:ext>
              </a:extLst>
            </xdr:cNvPr>
            <xdr:cNvSpPr txBox="1"/>
          </xdr:nvSpPr>
          <xdr:spPr>
            <a:xfrm>
              <a:off x="5646420" y="678180"/>
              <a:ext cx="1210395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〖(𝑥〗_𝑡−𝑥 ̅)(𝑦_𝑡−𝑦 ̅)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364014</xdr:colOff>
      <xdr:row>11</xdr:row>
      <xdr:rowOff>68453</xdr:rowOff>
    </xdr:from>
    <xdr:ext cx="134588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56C29F59-DCD5-4797-B8B3-DDF06AB0406E}"/>
                </a:ext>
              </a:extLst>
            </xdr:cNvPr>
            <xdr:cNvSpPr txBox="1"/>
          </xdr:nvSpPr>
          <xdr:spPr>
            <a:xfrm>
              <a:off x="364014" y="2697353"/>
              <a:ext cx="134588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56C29F59-DCD5-4797-B8B3-DDF06AB0406E}"/>
                </a:ext>
              </a:extLst>
            </xdr:cNvPr>
            <xdr:cNvSpPr txBox="1"/>
          </xdr:nvSpPr>
          <xdr:spPr>
            <a:xfrm>
              <a:off x="364014" y="2697353"/>
              <a:ext cx="134588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356394</xdr:colOff>
      <xdr:row>12</xdr:row>
      <xdr:rowOff>60833</xdr:rowOff>
    </xdr:from>
    <xdr:ext cx="137153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8EF39F5C-4BB2-49EF-9801-18E77CE576A3}"/>
                </a:ext>
              </a:extLst>
            </xdr:cNvPr>
            <xdr:cNvSpPr txBox="1"/>
          </xdr:nvSpPr>
          <xdr:spPr>
            <a:xfrm>
              <a:off x="356394" y="3070733"/>
              <a:ext cx="1371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8EF39F5C-4BB2-49EF-9801-18E77CE576A3}"/>
                </a:ext>
              </a:extLst>
            </xdr:cNvPr>
            <xdr:cNvSpPr txBox="1"/>
          </xdr:nvSpPr>
          <xdr:spPr>
            <a:xfrm>
              <a:off x="356394" y="3070733"/>
              <a:ext cx="1371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𝑦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318294</xdr:colOff>
      <xdr:row>13</xdr:row>
      <xdr:rowOff>60833</xdr:rowOff>
    </xdr:from>
    <xdr:ext cx="197042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9AFA83FA-3727-44FA-916E-ACEFDD477EAF}"/>
                </a:ext>
              </a:extLst>
            </xdr:cNvPr>
            <xdr:cNvSpPr txBox="1"/>
          </xdr:nvSpPr>
          <xdr:spPr>
            <a:xfrm>
              <a:off x="318294" y="3451733"/>
              <a:ext cx="19704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9AFA83FA-3727-44FA-916E-ACEFDD477EAF}"/>
                </a:ext>
              </a:extLst>
            </xdr:cNvPr>
            <xdr:cNvSpPr txBox="1"/>
          </xdr:nvSpPr>
          <xdr:spPr>
            <a:xfrm>
              <a:off x="318294" y="3451733"/>
              <a:ext cx="19704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𝑠_𝑥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303054</xdr:colOff>
      <xdr:row>14</xdr:row>
      <xdr:rowOff>45593</xdr:rowOff>
    </xdr:from>
    <xdr:ext cx="202235" cy="2324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A1F86D4-4B69-4B0A-BF26-F7FE17707A17}"/>
                </a:ext>
              </a:extLst>
            </xdr:cNvPr>
            <xdr:cNvSpPr txBox="1"/>
          </xdr:nvSpPr>
          <xdr:spPr>
            <a:xfrm>
              <a:off x="303054" y="3817493"/>
              <a:ext cx="202235" cy="2324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𝑦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A1F86D4-4B69-4B0A-BF26-F7FE17707A17}"/>
                </a:ext>
              </a:extLst>
            </xdr:cNvPr>
            <xdr:cNvSpPr txBox="1"/>
          </xdr:nvSpPr>
          <xdr:spPr>
            <a:xfrm>
              <a:off x="303054" y="3817493"/>
              <a:ext cx="202235" cy="2324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𝑠_𝑦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310674</xdr:colOff>
      <xdr:row>16</xdr:row>
      <xdr:rowOff>74803</xdr:rowOff>
    </xdr:from>
    <xdr:ext cx="122982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CE53417C-99A2-45AC-9373-455919E17563}"/>
                </a:ext>
              </a:extLst>
            </xdr:cNvPr>
            <xdr:cNvSpPr txBox="1"/>
          </xdr:nvSpPr>
          <xdr:spPr>
            <a:xfrm>
              <a:off x="310674" y="4754753"/>
              <a:ext cx="12298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400" b="0" i="1">
                        <a:latin typeface="Cambria Math" panose="02040503050406030204" pitchFamily="18" charset="0"/>
                      </a:rPr>
                      <m:t>𝑟</m:t>
                    </m:r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CE53417C-99A2-45AC-9373-455919E17563}"/>
                </a:ext>
              </a:extLst>
            </xdr:cNvPr>
            <xdr:cNvSpPr txBox="1"/>
          </xdr:nvSpPr>
          <xdr:spPr>
            <a:xfrm>
              <a:off x="310674" y="4754753"/>
              <a:ext cx="12298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𝑟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74454</xdr:colOff>
      <xdr:row>15</xdr:row>
      <xdr:rowOff>81153</xdr:rowOff>
    </xdr:from>
    <xdr:ext cx="735073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EE6C9C3-9BA8-46C7-A334-2852E222C420}"/>
                </a:ext>
              </a:extLst>
            </xdr:cNvPr>
            <xdr:cNvSpPr txBox="1"/>
          </xdr:nvSpPr>
          <xdr:spPr>
            <a:xfrm>
              <a:off x="74454" y="4380103"/>
              <a:ext cx="73507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400" b="0" i="1">
                        <a:latin typeface="Cambria Math" panose="02040503050406030204" pitchFamily="18" charset="0"/>
                      </a:rPr>
                      <m:t>𝑐𝑜𝑣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,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𝑦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EE6C9C3-9BA8-46C7-A334-2852E222C420}"/>
                </a:ext>
              </a:extLst>
            </xdr:cNvPr>
            <xdr:cNvSpPr txBox="1"/>
          </xdr:nvSpPr>
          <xdr:spPr>
            <a:xfrm>
              <a:off x="74454" y="4380103"/>
              <a:ext cx="73507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𝑐𝑜𝑣(𝑥,𝑦)</a:t>
              </a:r>
              <a:endParaRPr lang="en-US" sz="1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F2E6-1E13-48EF-9BE3-D6C90C46BEC8}">
  <dimension ref="A1:H17"/>
  <sheetViews>
    <sheetView tabSelected="1" workbookViewId="0">
      <selection sqref="A1:H1"/>
    </sheetView>
  </sheetViews>
  <sheetFormatPr defaultRowHeight="14.5" x14ac:dyDescent="0.35"/>
  <cols>
    <col min="1" max="1" width="11.90625" style="7" customWidth="1"/>
    <col min="2" max="2" width="12" style="7" customWidth="1"/>
    <col min="3" max="3" width="12.1796875" style="7" bestFit="1" customWidth="1"/>
    <col min="4" max="6" width="11.1796875" style="7" bestFit="1" customWidth="1"/>
    <col min="7" max="7" width="12" style="7" customWidth="1"/>
    <col min="8" max="8" width="18.1796875" style="7" customWidth="1"/>
    <col min="9" max="13" width="8.7265625" style="7"/>
    <col min="14" max="14" width="9.6328125" style="7" customWidth="1"/>
    <col min="15" max="16384" width="8.7265625" style="7"/>
  </cols>
  <sheetData>
    <row r="1" spans="1:8" ht="48.65" customHeight="1" x14ac:dyDescent="0.35">
      <c r="A1" s="12" t="s">
        <v>3</v>
      </c>
      <c r="B1" s="13"/>
      <c r="C1" s="13"/>
      <c r="D1" s="13"/>
      <c r="E1" s="13"/>
      <c r="F1" s="13"/>
      <c r="G1" s="13"/>
      <c r="H1" s="14"/>
    </row>
    <row r="2" spans="1:8" ht="29" x14ac:dyDescent="0.35">
      <c r="A2" s="1" t="s">
        <v>1</v>
      </c>
      <c r="B2" s="2" t="s">
        <v>2</v>
      </c>
      <c r="C2" s="3"/>
      <c r="D2" s="3"/>
      <c r="E2" s="8"/>
      <c r="F2" s="8"/>
      <c r="G2" s="8"/>
      <c r="H2" s="9"/>
    </row>
    <row r="3" spans="1:8" ht="16" customHeight="1" x14ac:dyDescent="0.35">
      <c r="A3" s="4">
        <v>1</v>
      </c>
      <c r="B3" s="4">
        <v>-2.1</v>
      </c>
      <c r="C3" s="4">
        <v>2.8</v>
      </c>
      <c r="D3" s="4">
        <f>B3-$B$12</f>
        <v>-1.9000000000000001</v>
      </c>
      <c r="E3" s="4">
        <f>D3^2</f>
        <v>3.6100000000000003</v>
      </c>
      <c r="F3" s="4">
        <f>C3-$B$13</f>
        <v>0.99999999999999978</v>
      </c>
      <c r="G3" s="4">
        <f>F3^2</f>
        <v>0.99999999999999956</v>
      </c>
      <c r="H3" s="4">
        <f>D3*F3</f>
        <v>-1.8999999999999997</v>
      </c>
    </row>
    <row r="4" spans="1:8" ht="16" customHeight="1" x14ac:dyDescent="0.35">
      <c r="A4" s="4">
        <v>2</v>
      </c>
      <c r="B4" s="4">
        <v>-0.2</v>
      </c>
      <c r="C4" s="4">
        <v>2.2000000000000002</v>
      </c>
      <c r="D4" s="5">
        <f t="shared" ref="D4:D8" si="0">B4-$B$12</f>
        <v>0</v>
      </c>
      <c r="E4" s="5">
        <f t="shared" ref="E4:E8" si="1">D4^2</f>
        <v>0</v>
      </c>
      <c r="F4" s="5">
        <f t="shared" ref="F4:F8" si="2">C4-$B$13</f>
        <v>0.40000000000000013</v>
      </c>
      <c r="G4" s="5">
        <f t="shared" ref="G4:G8" si="3">F4^2</f>
        <v>0.16000000000000011</v>
      </c>
      <c r="H4" s="5">
        <f t="shared" ref="H4:H8" si="4">D4*F4</f>
        <v>0</v>
      </c>
    </row>
    <row r="5" spans="1:8" ht="16" customHeight="1" x14ac:dyDescent="0.35">
      <c r="A5" s="4">
        <v>3</v>
      </c>
      <c r="B5" s="4">
        <v>0.8</v>
      </c>
      <c r="C5" s="4">
        <v>0.9</v>
      </c>
      <c r="D5" s="5">
        <f t="shared" si="0"/>
        <v>1</v>
      </c>
      <c r="E5" s="5">
        <f t="shared" si="1"/>
        <v>1</v>
      </c>
      <c r="F5" s="5">
        <f t="shared" si="2"/>
        <v>-0.9</v>
      </c>
      <c r="G5" s="5">
        <f t="shared" si="3"/>
        <v>0.81</v>
      </c>
      <c r="H5" s="5">
        <f t="shared" si="4"/>
        <v>-0.9</v>
      </c>
    </row>
    <row r="6" spans="1:8" ht="16" customHeight="1" x14ac:dyDescent="0.35">
      <c r="A6" s="4">
        <v>4</v>
      </c>
      <c r="B6" s="4">
        <v>0.4</v>
      </c>
      <c r="C6" s="4">
        <v>2</v>
      </c>
      <c r="D6" s="5">
        <f t="shared" si="0"/>
        <v>0.60000000000000009</v>
      </c>
      <c r="E6" s="5">
        <f t="shared" si="1"/>
        <v>0.3600000000000001</v>
      </c>
      <c r="F6" s="5">
        <f t="shared" si="2"/>
        <v>0.19999999999999996</v>
      </c>
      <c r="G6" s="5">
        <f t="shared" si="3"/>
        <v>3.999999999999998E-2</v>
      </c>
      <c r="H6" s="5">
        <f t="shared" si="4"/>
        <v>0.12</v>
      </c>
    </row>
    <row r="7" spans="1:8" ht="16" customHeight="1" x14ac:dyDescent="0.35">
      <c r="A7" s="4">
        <v>5</v>
      </c>
      <c r="B7" s="4">
        <v>2.2999999999999998</v>
      </c>
      <c r="C7" s="4">
        <v>-1</v>
      </c>
      <c r="D7" s="5">
        <f t="shared" si="0"/>
        <v>2.5</v>
      </c>
      <c r="E7" s="5">
        <f t="shared" si="1"/>
        <v>6.25</v>
      </c>
      <c r="F7" s="5">
        <f t="shared" si="2"/>
        <v>-2.8</v>
      </c>
      <c r="G7" s="5">
        <f t="shared" si="3"/>
        <v>7.839999999999999</v>
      </c>
      <c r="H7" s="5">
        <f t="shared" si="4"/>
        <v>-7</v>
      </c>
    </row>
    <row r="8" spans="1:8" ht="16" customHeight="1" x14ac:dyDescent="0.35">
      <c r="A8" s="4">
        <v>6</v>
      </c>
      <c r="B8" s="4">
        <v>-2.4</v>
      </c>
      <c r="C8" s="4">
        <v>3.9</v>
      </c>
      <c r="D8" s="5">
        <f t="shared" si="0"/>
        <v>-2.1999999999999997</v>
      </c>
      <c r="E8" s="5">
        <f t="shared" si="1"/>
        <v>4.839999999999999</v>
      </c>
      <c r="F8" s="5">
        <f t="shared" si="2"/>
        <v>2.0999999999999996</v>
      </c>
      <c r="G8" s="5">
        <f t="shared" si="3"/>
        <v>4.4099999999999984</v>
      </c>
      <c r="H8" s="5">
        <f t="shared" si="4"/>
        <v>-4.6199999999999983</v>
      </c>
    </row>
    <row r="9" spans="1:8" ht="16" customHeight="1" x14ac:dyDescent="0.35">
      <c r="A9" s="4" t="s">
        <v>0</v>
      </c>
      <c r="B9" s="4">
        <v>-1.2</v>
      </c>
      <c r="C9" s="4">
        <v>10.8</v>
      </c>
      <c r="D9" s="5">
        <f>SUM(D3:D8)</f>
        <v>0</v>
      </c>
      <c r="E9" s="5">
        <f t="shared" ref="E9:H9" si="5">SUM(E3:E8)</f>
        <v>16.059999999999999</v>
      </c>
      <c r="F9" s="5">
        <f t="shared" si="5"/>
        <v>0</v>
      </c>
      <c r="G9" s="5">
        <f t="shared" si="5"/>
        <v>14.259999999999996</v>
      </c>
      <c r="H9" s="5">
        <f t="shared" si="5"/>
        <v>-14.299999999999997</v>
      </c>
    </row>
    <row r="11" spans="1:8" x14ac:dyDescent="0.35">
      <c r="F11" s="10"/>
    </row>
    <row r="12" spans="1:8" ht="30" customHeight="1" x14ac:dyDescent="0.35">
      <c r="A12" s="11"/>
      <c r="B12" s="6">
        <f>SUM(B3:B8)/6</f>
        <v>-0.20000000000000004</v>
      </c>
    </row>
    <row r="13" spans="1:8" ht="30" customHeight="1" x14ac:dyDescent="0.35">
      <c r="A13" s="11"/>
      <c r="B13" s="6">
        <f>SUM(C3:C8)/6</f>
        <v>1.8</v>
      </c>
    </row>
    <row r="14" spans="1:8" ht="30" customHeight="1" x14ac:dyDescent="0.35">
      <c r="A14" s="11"/>
      <c r="B14" s="6">
        <f>SQRT(E9/(6-1))</f>
        <v>1.7922053453775881</v>
      </c>
    </row>
    <row r="15" spans="1:8" ht="30" customHeight="1" x14ac:dyDescent="0.35">
      <c r="A15" s="11"/>
      <c r="B15" s="6">
        <f>SQRT(G9/(6-1))</f>
        <v>1.688786546606764</v>
      </c>
    </row>
    <row r="16" spans="1:8" ht="30" customHeight="1" x14ac:dyDescent="0.35">
      <c r="A16" s="11"/>
      <c r="B16" s="6">
        <f>1/(6-1)*H9</f>
        <v>-2.8599999999999994</v>
      </c>
    </row>
    <row r="17" spans="1:2" ht="30" customHeight="1" x14ac:dyDescent="0.35">
      <c r="A17" s="11"/>
      <c r="B17" s="6">
        <f>B16/(B14*B15)</f>
        <v>-0.94493841352367947</v>
      </c>
    </row>
  </sheetData>
  <mergeCells count="1">
    <mergeCell ref="A1:H1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F75838E79B0E48B83E8E3F5479A3A2" ma:contentTypeVersion="9" ma:contentTypeDescription="Create a new document." ma:contentTypeScope="" ma:versionID="2b0c304636f8f537543cd13f583db9d4">
  <xsd:schema xmlns:xsd="http://www.w3.org/2001/XMLSchema" xmlns:xs="http://www.w3.org/2001/XMLSchema" xmlns:p="http://schemas.microsoft.com/office/2006/metadata/properties" xmlns:ns3="ca1cba85-b018-40b2-9d9a-243cd5b6fae5" xmlns:ns4="f1fb8133-dfcb-4ab3-83e1-bcafde3f766a" targetNamespace="http://schemas.microsoft.com/office/2006/metadata/properties" ma:root="true" ma:fieldsID="0f089f22c5ce4e61126931f7622145b2" ns3:_="" ns4:_="">
    <xsd:import namespace="ca1cba85-b018-40b2-9d9a-243cd5b6fae5"/>
    <xsd:import namespace="f1fb8133-dfcb-4ab3-83e1-bcafde3f766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1cba85-b018-40b2-9d9a-243cd5b6fa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fb8133-dfcb-4ab3-83e1-bcafde3f766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1cba85-b018-40b2-9d9a-243cd5b6fae5" xsi:nil="true"/>
  </documentManagement>
</p:properties>
</file>

<file path=customXml/itemProps1.xml><?xml version="1.0" encoding="utf-8"?>
<ds:datastoreItem xmlns:ds="http://schemas.openxmlformats.org/officeDocument/2006/customXml" ds:itemID="{FBDDC771-C014-4A48-9FCA-802C556EA1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1cba85-b018-40b2-9d9a-243cd5b6fae5"/>
    <ds:schemaRef ds:uri="f1fb8133-dfcb-4ab3-83e1-bcafde3f7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96E0334-A0AA-41B5-AE21-CAD1C9D107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E1B631-90B0-4D19-A35E-F8DC8BE167A4}">
  <ds:schemaRefs>
    <ds:schemaRef ds:uri="http://schemas.microsoft.com/office/2006/metadata/properties"/>
    <ds:schemaRef ds:uri="http://purl.org/dc/elements/1.1/"/>
    <ds:schemaRef ds:uri="http://www.w3.org/XML/1998/namespace"/>
    <ds:schemaRef ds:uri="f1fb8133-dfcb-4ab3-83e1-bcafde3f766a"/>
    <ds:schemaRef ds:uri="http://purl.org/dc/dcmitype/"/>
    <ds:schemaRef ds:uri="http://schemas.microsoft.com/office/infopath/2007/PartnerControls"/>
    <ds:schemaRef ds:uri="http://purl.org/dc/terms/"/>
    <ds:schemaRef ds:uri="http://schemas.microsoft.com/office/2006/documentManagement/types"/>
    <ds:schemaRef ds:uri="ca1cba85-b018-40b2-9d9a-243cd5b6fae5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Brost, Tyson</dc:creator>
  <cp:lastModifiedBy>Craig Johnson</cp:lastModifiedBy>
  <dcterms:created xsi:type="dcterms:W3CDTF">2024-09-16T15:34:20Z</dcterms:created>
  <dcterms:modified xsi:type="dcterms:W3CDTF">2026-09-28T22:38:23Z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0x01010070F75838E79B0E48B83E8E3F5479A3A2</vt:lpwstr>
  </property>
  <property fmtid="{D5CDD505-2E9C-101B-9397-08002B2CF9AE}" pid="3" name="MSIP_Label_68711bd2-0ee9-46e2-b29d-55439e19cd24_Enabled">
    <vt:lpwstr>true</vt:lpwstr>
  </property>
  <property fmtid="{D5CDD505-2E9C-101B-9397-08002B2CF9AE}" pid="4" name="MSIP_Label_68711bd2-0ee9-46e2-b29d-55439e19cd24_SetDate">
    <vt:lpwstr>2025-10-02T18:58:30Z</vt:lpwstr>
  </property>
  <property fmtid="{D5CDD505-2E9C-101B-9397-08002B2CF9AE}" pid="5" name="MSIP_Label_68711bd2-0ee9-46e2-b29d-55439e19cd24_Method">
    <vt:lpwstr>Standard</vt:lpwstr>
  </property>
  <property fmtid="{D5CDD505-2E9C-101B-9397-08002B2CF9AE}" pid="6" name="MSIP_Label_68711bd2-0ee9-46e2-b29d-55439e19cd24_Name">
    <vt:lpwstr>defa4170-0d19-0005-0004-bc88714345d2</vt:lpwstr>
  </property>
  <property fmtid="{D5CDD505-2E9C-101B-9397-08002B2CF9AE}" pid="7" name="MSIP_Label_68711bd2-0ee9-46e2-b29d-55439e19cd24_SiteId">
    <vt:lpwstr>43d140ae-c5ca-429b-94be-48060dec7bfc</vt:lpwstr>
  </property>
  <property fmtid="{D5CDD505-2E9C-101B-9397-08002B2CF9AE}" pid="8" name="MSIP_Label_68711bd2-0ee9-46e2-b29d-55439e19cd24_ActionId">
    <vt:lpwstr>06b1cf17-f520-451e-8d25-763ebd66b779</vt:lpwstr>
  </property>
  <property fmtid="{D5CDD505-2E9C-101B-9397-08002B2CF9AE}" pid="9" name="MSIP_Label_68711bd2-0ee9-46e2-b29d-55439e19cd24_ContentBits">
    <vt:lpwstr>0</vt:lpwstr>
  </property>
  <property fmtid="{D5CDD505-2E9C-101B-9397-08002B2CF9AE}" pid="10" name="MSIP_Label_68711bd2-0ee9-46e2-b29d-55439e19cd24_Tag">
    <vt:lpwstr>10, 3, 0, 1</vt:lpwstr>
  </property>
</Properties>
</file>