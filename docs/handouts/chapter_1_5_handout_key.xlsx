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0DD2C929-8FFC-44C0-A6FC-47DEDCF15724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" i="2" l="1" a="1"/>
  <c r="B115" i="2" s="1"/>
  <c r="B114" i="2" a="1"/>
  <c r="B114" i="2" s="1"/>
  <c r="B113" i="2" a="1"/>
  <c r="B113" i="2" s="1"/>
  <c r="B112" i="2" a="1"/>
  <c r="B112" i="2" s="1"/>
  <c r="B111" i="2" a="1"/>
  <c r="B111" i="2" s="1"/>
  <c r="B110" i="2" a="1"/>
  <c r="B110" i="2" s="1"/>
  <c r="B109" i="2" a="1"/>
  <c r="B109" i="2" s="1"/>
  <c r="B108" i="2" a="1"/>
  <c r="B108" i="2" s="1"/>
  <c r="B107" i="2" a="1"/>
  <c r="B107" i="2" s="1"/>
  <c r="B106" i="2" a="1"/>
  <c r="B106" i="2" s="1"/>
  <c r="B105" i="2" a="1"/>
  <c r="B105" i="2" s="1"/>
  <c r="B104" i="2" a="1"/>
  <c r="B104" i="2" s="1"/>
  <c r="B103" i="2" a="1"/>
  <c r="B103" i="2" s="1"/>
  <c r="B102" i="2" a="1"/>
  <c r="B102" i="2" s="1"/>
  <c r="B101" i="2" a="1"/>
  <c r="B101" i="2" s="1"/>
  <c r="B100" i="2" a="1"/>
  <c r="B100" i="2" s="1"/>
  <c r="B99" i="2" a="1"/>
  <c r="B99" i="2" s="1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A179" i="2" l="1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C5" i="2"/>
  <c r="D5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6" i="2"/>
  <c r="D6" i="2" s="1"/>
  <c r="B97" i="2" l="1" a="1"/>
  <c r="B97" i="2" s="1"/>
  <c r="B96" i="2" a="1"/>
  <c r="B96" i="2" s="1"/>
  <c r="B95" i="2" a="1"/>
  <c r="B95" i="2" s="1"/>
  <c r="B98" i="2" a="1"/>
  <c r="B98" i="2" s="1"/>
  <c r="B94" i="2" a="1"/>
  <c r="B94" i="2" l="1"/>
  <c r="B117" i="2" s="1"/>
  <c r="D117" i="2"/>
  <c r="C117" i="2"/>
  <c r="E117" i="2"/>
  <c r="F117" i="2" l="1"/>
  <c r="E118" i="2" l="1"/>
  <c r="D118" i="2"/>
  <c r="C118" i="2"/>
  <c r="B118" i="2"/>
  <c r="E123" i="2" s="1" a="1"/>
  <c r="F126" i="2" l="1"/>
  <c r="E128" i="2"/>
  <c r="E129" i="2"/>
  <c r="E130" i="2"/>
  <c r="E123" i="2"/>
  <c r="E127" i="2" s="1"/>
  <c r="G125" i="2"/>
  <c r="G126" i="2"/>
  <c r="G124" i="2"/>
  <c r="F125" i="2"/>
  <c r="E132" i="2" l="1"/>
  <c r="F128" i="2"/>
  <c r="G128" i="2"/>
  <c r="E134" i="2"/>
  <c r="G130" i="2"/>
  <c r="F130" i="2"/>
  <c r="E133" i="2"/>
  <c r="G129" i="2"/>
  <c r="F129" i="2"/>
  <c r="F127" i="2"/>
  <c r="G127" i="2"/>
  <c r="E131" i="2"/>
  <c r="G123" i="2"/>
  <c r="E137" i="2" l="1"/>
  <c r="F133" i="2"/>
  <c r="G133" i="2"/>
  <c r="E138" i="2"/>
  <c r="G134" i="2"/>
  <c r="F134" i="2"/>
  <c r="E136" i="2"/>
  <c r="F132" i="2"/>
  <c r="G132" i="2"/>
  <c r="E135" i="2"/>
  <c r="G131" i="2"/>
  <c r="F131" i="2"/>
  <c r="E140" i="2" l="1"/>
  <c r="F136" i="2"/>
  <c r="G136" i="2"/>
  <c r="E142" i="2"/>
  <c r="F138" i="2"/>
  <c r="G138" i="2"/>
  <c r="E141" i="2"/>
  <c r="F137" i="2"/>
  <c r="G137" i="2"/>
  <c r="E139" i="2"/>
  <c r="F135" i="2"/>
  <c r="G135" i="2"/>
  <c r="E145" i="2" l="1"/>
  <c r="F141" i="2"/>
  <c r="G141" i="2"/>
  <c r="E146" i="2"/>
  <c r="F142" i="2"/>
  <c r="G142" i="2"/>
  <c r="E144" i="2"/>
  <c r="G140" i="2"/>
  <c r="F140" i="2"/>
  <c r="F139" i="2"/>
  <c r="E143" i="2"/>
  <c r="G139" i="2"/>
  <c r="F146" i="2" l="1"/>
  <c r="E150" i="2"/>
  <c r="G146" i="2"/>
  <c r="F144" i="2"/>
  <c r="E148" i="2"/>
  <c r="G144" i="2"/>
  <c r="E149" i="2"/>
  <c r="G145" i="2"/>
  <c r="F145" i="2"/>
  <c r="E147" i="2"/>
  <c r="F143" i="2"/>
  <c r="G143" i="2"/>
  <c r="E152" i="2" l="1"/>
  <c r="G148" i="2"/>
  <c r="F148" i="2"/>
  <c r="F149" i="2"/>
  <c r="E153" i="2"/>
  <c r="G149" i="2"/>
  <c r="F150" i="2"/>
  <c r="E154" i="2"/>
  <c r="G150" i="2"/>
  <c r="E151" i="2"/>
  <c r="G147" i="2"/>
  <c r="F147" i="2"/>
  <c r="G154" i="2" l="1"/>
  <c r="E158" i="2"/>
  <c r="F154" i="2"/>
  <c r="E157" i="2"/>
  <c r="F153" i="2"/>
  <c r="G153" i="2"/>
  <c r="F152" i="2"/>
  <c r="G152" i="2"/>
  <c r="E156" i="2"/>
  <c r="G151" i="2"/>
  <c r="E155" i="2"/>
  <c r="F151" i="2"/>
  <c r="E160" i="2" l="1"/>
  <c r="G156" i="2"/>
  <c r="F156" i="2"/>
  <c r="E161" i="2"/>
  <c r="F157" i="2"/>
  <c r="G157" i="2"/>
  <c r="F158" i="2"/>
  <c r="G158" i="2"/>
  <c r="E162" i="2"/>
  <c r="E159" i="2"/>
  <c r="G155" i="2"/>
  <c r="F155" i="2"/>
  <c r="E166" i="2" l="1"/>
  <c r="G162" i="2"/>
  <c r="F162" i="2"/>
  <c r="E165" i="2"/>
  <c r="G161" i="2"/>
  <c r="F161" i="2"/>
  <c r="E164" i="2"/>
  <c r="G160" i="2"/>
  <c r="F160" i="2"/>
  <c r="E163" i="2"/>
  <c r="G159" i="2"/>
  <c r="F159" i="2"/>
  <c r="E168" i="2" l="1"/>
  <c r="G164" i="2"/>
  <c r="F164" i="2"/>
  <c r="E169" i="2"/>
  <c r="F165" i="2"/>
  <c r="G165" i="2"/>
  <c r="E170" i="2"/>
  <c r="G166" i="2"/>
  <c r="F166" i="2"/>
  <c r="E167" i="2"/>
  <c r="G163" i="2"/>
  <c r="F163" i="2"/>
  <c r="E174" i="2" l="1"/>
  <c r="F170" i="2"/>
  <c r="G170" i="2"/>
  <c r="E173" i="2"/>
  <c r="F169" i="2"/>
  <c r="G169" i="2"/>
  <c r="E172" i="2"/>
  <c r="G168" i="2"/>
  <c r="F168" i="2"/>
  <c r="E171" i="2"/>
  <c r="F167" i="2"/>
  <c r="G167" i="2"/>
  <c r="E177" i="2" l="1"/>
  <c r="F173" i="2"/>
  <c r="G173" i="2"/>
  <c r="E176" i="2"/>
  <c r="G172" i="2"/>
  <c r="F172" i="2"/>
  <c r="E178" i="2"/>
  <c r="G174" i="2"/>
  <c r="F174" i="2"/>
  <c r="E175" i="2"/>
  <c r="G171" i="2"/>
  <c r="F171" i="2"/>
  <c r="G178" i="2" l="1"/>
  <c r="F178" i="2"/>
  <c r="E182" i="2"/>
  <c r="E180" i="2"/>
  <c r="F176" i="2"/>
  <c r="G176" i="2"/>
  <c r="G177" i="2"/>
  <c r="F177" i="2"/>
  <c r="E181" i="2"/>
  <c r="E179" i="2"/>
  <c r="F175" i="2"/>
  <c r="G175" i="2"/>
  <c r="G181" i="2" l="1"/>
  <c r="F181" i="2"/>
  <c r="E185" i="2"/>
  <c r="G180" i="2"/>
  <c r="F180" i="2"/>
  <c r="E184" i="2"/>
  <c r="G182" i="2"/>
  <c r="F182" i="2"/>
  <c r="E186" i="2"/>
  <c r="E183" i="2"/>
  <c r="F179" i="2"/>
  <c r="G179" i="2"/>
  <c r="E190" i="2" l="1"/>
  <c r="G186" i="2"/>
  <c r="F186" i="2"/>
  <c r="F184" i="2"/>
  <c r="G184" i="2"/>
  <c r="E188" i="2"/>
  <c r="E189" i="2"/>
  <c r="G185" i="2"/>
  <c r="F185" i="2"/>
  <c r="E187" i="2"/>
  <c r="F183" i="2"/>
  <c r="G183" i="2"/>
  <c r="E193" i="2" l="1"/>
  <c r="G189" i="2"/>
  <c r="F189" i="2"/>
  <c r="F188" i="2"/>
  <c r="E192" i="2"/>
  <c r="G188" i="2"/>
  <c r="G190" i="2"/>
  <c r="F190" i="2"/>
  <c r="E194" i="2"/>
  <c r="E191" i="2"/>
  <c r="G187" i="2"/>
  <c r="F187" i="2"/>
  <c r="G194" i="2" l="1"/>
  <c r="F194" i="2"/>
  <c r="E198" i="2"/>
  <c r="F192" i="2"/>
  <c r="G192" i="2"/>
  <c r="E196" i="2"/>
  <c r="E197" i="2"/>
  <c r="F193" i="2"/>
  <c r="G193" i="2"/>
  <c r="E195" i="2"/>
  <c r="G191" i="2"/>
  <c r="F191" i="2"/>
  <c r="E201" i="2" l="1"/>
  <c r="G197" i="2"/>
  <c r="F197" i="2"/>
  <c r="E200" i="2"/>
  <c r="G196" i="2"/>
  <c r="F196" i="2"/>
  <c r="F198" i="2"/>
  <c r="G198" i="2"/>
  <c r="E202" i="2"/>
  <c r="E199" i="2"/>
  <c r="G195" i="2"/>
  <c r="F195" i="2"/>
  <c r="E206" i="2" l="1"/>
  <c r="F202" i="2"/>
  <c r="G202" i="2"/>
  <c r="G200" i="2"/>
  <c r="E204" i="2"/>
  <c r="F200" i="2"/>
  <c r="F201" i="2"/>
  <c r="G201" i="2"/>
  <c r="E205" i="2"/>
  <c r="E203" i="2"/>
  <c r="G199" i="2"/>
  <c r="F199" i="2"/>
  <c r="F205" i="2" l="1"/>
  <c r="E209" i="2"/>
  <c r="G209" i="2" s="1"/>
  <c r="G205" i="2"/>
  <c r="G204" i="2"/>
  <c r="F204" i="2"/>
  <c r="E208" i="2"/>
  <c r="G208" i="2" s="1"/>
  <c r="G206" i="2"/>
  <c r="F206" i="2"/>
  <c r="E207" i="2"/>
  <c r="G203" i="2"/>
  <c r="F203" i="2"/>
  <c r="F207" i="2" l="1"/>
  <c r="G20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<sst xmlns="http://schemas.openxmlformats.org/spreadsheetml/2006/main" count="118" uniqueCount="103">
  <si>
    <t>Year</t>
  </si>
  <si>
    <t>Mean</t>
  </si>
  <si>
    <t>NA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</si>
  <si>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</si>
  <si>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</si>
  <si>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</si>
  <si>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</si>
  <si>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</si>
  <si>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</si>
  <si>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</si>
  <si>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</si>
  <si>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</si>
  <si>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</si>
  <si>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</si>
  <si>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</si>
  <si>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</si>
  <si>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</si>
  <si>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2022 Q4</t>
  </si>
  <si>
    <t>2023 Q1</t>
  </si>
  <si>
    <t>2023 Q2</t>
  </si>
  <si>
    <t>2023 Q3</t>
  </si>
  <si>
    <t>2023 Q4</t>
  </si>
  <si>
    <t xml:space="preserve">Revenue
</t>
  </si>
  <si>
    <t>Quarter</t>
  </si>
  <si>
    <t>Q1</t>
  </si>
  <si>
    <t>Q2</t>
  </si>
  <si>
    <t>Q3</t>
  </si>
  <si>
    <t>Q4</t>
  </si>
  <si>
    <t>Random</t>
  </si>
  <si>
    <t xml:space="preserve">Seasonally Adjusted 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</si>
  <si>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</si>
  <si>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</si>
  <si>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</si>
  <si>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</si>
  <si>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</si>
  <si>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</si>
  <si>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</si>
  <si>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</si>
  <si>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</si>
  <si>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</si>
  <si>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</si>
  <si>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</si>
  <si>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</si>
  <si>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</si>
  <si>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</si>
  <si>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</si>
  <si>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</si>
  <si>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</si>
  <si>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</si>
  <si>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</si>
  <si>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</si>
  <si>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</si>
  <si>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</si>
  <si>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</si>
  <si>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</si>
  <si>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</si>
  <si>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</si>
  <si>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</si>
  <si>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</si>
  <si>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</si>
  <si>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</si>
  <si>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</si>
  <si>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</si>
  <si>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</si>
  <si>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</si>
  <si>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</si>
  <si>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</si>
  <si>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</si>
  <si>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</si>
  <si>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</si>
  <si>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</si>
  <si>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</si>
  <si>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</si>
  <si>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</si>
  <si>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</si>
  <si>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</si>
  <si>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</si>
  <si>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</si>
  <si>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</si>
  <si>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</si>
  <si>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</si>
  <si>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</si>
  <si>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</si>
  <si>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</si>
  <si>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</si>
  <si>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</si>
  <si>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</si>
  <si>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 xml:space="preserve"> 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</si>
  <si>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</si>
  <si>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</si>
  <si>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</si>
  <si>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</si>
  <si>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</si>
  <si>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</si>
  <si>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</si>
  <si>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</si>
  <si>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</si>
  <si>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</si>
  <si>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</si>
  <si>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 xml:space="preserve">Overall Mean, </t>
  </si>
  <si>
    <t>Table 3: Computation of the 
Centered Moving Average,             , and the Estimated Quarterly Multiplicative Effect,</t>
  </si>
  <si>
    <t>Table 4: Computation of Seasonally Adjusted Factors,</t>
  </si>
  <si>
    <t>Table 5:  Computation of the Estimate of the Random 
Component and the Seasonally Adjusted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</si>
</sst>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4" xfId="0" applyFill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/>
    </xf>
    <xf numFmtId="165" fontId="2" fillId="3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114</xdr:row>
      <xdr:rowOff>3810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236220</xdr:colOff>
      <xdr:row>117</xdr:row>
      <xdr:rowOff>19050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36220" y="95059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36220" y="95059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381000</xdr:colOff>
      <xdr:row>116</xdr:row>
      <xdr:rowOff>19050</xdr:rowOff>
    </xdr:from>
    <xdr:ext cx="180819" cy="2319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2222500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2222500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601980</xdr:colOff>
      <xdr:row>115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73184</xdr:colOff>
      <xdr:row>0</xdr:row>
      <xdr:rowOff>172593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49584" y="1725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49584" y="1725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117634</xdr:colOff>
      <xdr:row>0</xdr:row>
      <xdr:rowOff>382143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644934" y="38214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644934" y="38214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210820</xdr:colOff>
      <xdr:row>90</xdr:row>
      <xdr:rowOff>142240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519170" y="173316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519170" y="173316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881380</xdr:colOff>
      <xdr:row>115</xdr:row>
      <xdr:rowOff>67310</xdr:rowOff>
    </xdr:from>
    <xdr:ext cx="180819" cy="251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928913-C816-5A9F-7D30-2D103938E40B}"/>
                </a:ext>
              </a:extLst>
            </xdr:cNvPr>
            <xdr:cNvSpPr txBox="1"/>
          </xdr:nvSpPr>
          <xdr:spPr>
            <a:xfrm>
              <a:off x="4970780" y="21860510"/>
              <a:ext cx="180819" cy="251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̿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acc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928913-C816-5A9F-7D30-2D103938E40B}"/>
                </a:ext>
              </a:extLst>
            </xdr:cNvPr>
            <xdr:cNvSpPr txBox="1"/>
          </xdr:nvSpPr>
          <xdr:spPr>
            <a:xfrm>
              <a:off x="4970780" y="21860510"/>
              <a:ext cx="180819" cy="251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  ̿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318294</xdr:colOff>
      <xdr:row>121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650C84-5EF3-47D2-862F-D2099E5E3991}"/>
                </a:ext>
              </a:extLst>
            </xdr:cNvPr>
            <xdr:cNvSpPr txBox="1"/>
          </xdr:nvSpPr>
          <xdr:spPr>
            <a:xfrm>
              <a:off x="1141254" y="104316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650C84-5EF3-47D2-862F-D2099E5E3991}"/>
                </a:ext>
              </a:extLst>
            </xdr:cNvPr>
            <xdr:cNvSpPr txBox="1"/>
          </xdr:nvSpPr>
          <xdr:spPr>
            <a:xfrm>
              <a:off x="1141254" y="104316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121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80E571-8EED-4244-9051-F5F4068AB44A}"/>
                </a:ext>
              </a:extLst>
            </xdr:cNvPr>
            <xdr:cNvSpPr txBox="1"/>
          </xdr:nvSpPr>
          <xdr:spPr>
            <a:xfrm>
              <a:off x="1956594" y="1038593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80E571-8EED-4244-9051-F5F4068AB44A}"/>
                </a:ext>
              </a:extLst>
            </xdr:cNvPr>
            <xdr:cNvSpPr txBox="1"/>
          </xdr:nvSpPr>
          <xdr:spPr>
            <a:xfrm>
              <a:off x="1956594" y="1038593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121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0EAA75-C636-4536-B8EF-D4FA8CB59886}"/>
                </a:ext>
              </a:extLst>
            </xdr:cNvPr>
            <xdr:cNvSpPr txBox="1"/>
          </xdr:nvSpPr>
          <xdr:spPr>
            <a:xfrm>
              <a:off x="2901474" y="103859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0EAA75-C636-4536-B8EF-D4FA8CB59886}"/>
                </a:ext>
              </a:extLst>
            </xdr:cNvPr>
            <xdr:cNvSpPr txBox="1"/>
          </xdr:nvSpPr>
          <xdr:spPr>
            <a:xfrm>
              <a:off x="2901474" y="103859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320040</xdr:colOff>
      <xdr:row>121</xdr:row>
      <xdr:rowOff>95250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4F2A19-C882-47E9-A016-F9963E834A56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4F2A19-C882-47E9-A016-F9963E834A56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563880</xdr:colOff>
      <xdr:row>121</xdr:row>
      <xdr:rowOff>121920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171F7C-434D-403B-A03B-349F1B19D419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171F7C-434D-403B-A03B-349F1B19D419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F71959-41E3-484F-B4B2-DF492B39129A}"/>
            </a:ext>
          </a:extLst>
        </xdr:cNvPr>
        <xdr:cNvSpPr txBox="1"/>
      </xdr:nvSpPr>
      <xdr:spPr>
        <a:xfrm>
          <a:off x="228600" y="921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86A24E-FE7D-4F2C-ADFE-AEE90428B578}"/>
            </a:ext>
          </a:extLst>
        </xdr:cNvPr>
        <xdr:cNvSpPr txBox="1"/>
      </xdr:nvSpPr>
      <xdr:spPr>
        <a:xfrm>
          <a:off x="228600" y="68554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2DE7851-F42D-4D49-9151-5E44A8B06928}"/>
            </a:ext>
          </a:extLst>
        </xdr:cNvPr>
        <xdr:cNvSpPr txBox="1"/>
      </xdr:nvSpPr>
      <xdr:spPr>
        <a:xfrm>
          <a:off x="5472430" y="7442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U212"/>
  <sheetViews>
    <sheetView tabSelected="1" workbookViewId="0">
      <selection sqref="A1:D1"/>
    </sheetView>
  </sheetViews>
  <sheetFormatPr defaultRowHeight="14.5" x14ac:dyDescent="0.35"/>
  <cols>
    <col min="1" max="2" width="12" customWidth="1"/>
    <col min="3" max="3" width="12.1796875" bestFit="1" customWidth="1"/>
    <col min="4" max="5" width="11.1796875" bestFit="1" customWidth="1"/>
    <col min="6" max="6" width="15.6328125" customWidth="1"/>
    <col min="7" max="7" width="18.26953125" bestFit="1" customWidth="1"/>
    <col min="9" max="10" width="12" customWidth="1"/>
    <col min="11" max="11" width="12.1796875" bestFit="1" customWidth="1"/>
    <col min="12" max="14" width="11.1796875" bestFit="1" customWidth="1"/>
    <col min="15" max="15" width="18.90625" customWidth="1"/>
    <col min="17" max="17" width="10.08984375" bestFit="1" customWidth="1"/>
    <col min="21" max="21" width="8.7265625" style="2"/>
  </cols>
  <sheetData>
    <row r="1" spans="1:21" ht="48.65" customHeight="1" x14ac:dyDescent="0.35">
      <c r="A1" s="21" t="s">
        <v>100</v>
      </c>
      <c r="B1" s="22"/>
      <c r="C1" s="22"/>
      <c r="D1" s="23"/>
      <c r="U1"/>
    </row>
    <row r="2" spans="1:21" ht="29" x14ac:dyDescent="0.35">
      <c r="A2" s="9" t="s">
        <v>23</v>
      </c>
      <c r="B2" s="10" t="s">
        <v>22</v>
      </c>
      <c r="C2" s="9"/>
      <c r="D2" s="9"/>
      <c r="U2"/>
    </row>
    <row r="3" spans="1:21" x14ac:dyDescent="0.35">
      <c r="A3" s="11" t="s">
        <v>3</v>
      </c>
      <c r="B3" s="11">
        <v>3.49</v>
      </c>
      <c r="C3" s="11" t="s">
        <v>2</v>
      </c>
      <c r="D3" s="11" t="s">
        <v>2</v>
      </c>
      <c r="U3"/>
    </row>
    <row r="4" spans="1:21" x14ac:dyDescent="0.35">
      <c r="A4" s="11" t="s">
        <v>4</v>
      </c>
      <c r="B4" s="11">
        <v>3.2429999999999999</v>
      </c>
      <c r="C4" s="11" t="s">
        <v>2</v>
      </c>
      <c r="D4" s="11" t="s">
        <v>2</v>
      </c>
      <c r="U4"/>
    </row>
    <row r="5" spans="1:21" x14ac:dyDescent="0.35">
      <c r="A5" s="11" t="s">
        <v>5</v>
      </c>
      <c r="B5" s="11">
        <v>3.52</v>
      </c>
      <c r="C5" s="12">
        <f t="shared" ref="C5:C86" si="0">(0.5*B3+SUM(B4:B6)+0.5*B7)/4</f>
        <v>3.7651249999999998</v>
      </c>
      <c r="D5" s="13">
        <f>B5/C5</f>
        <v>0.93489591979017961</v>
      </c>
      <c r="U5"/>
    </row>
    <row r="6" spans="1:21" x14ac:dyDescent="0.35">
      <c r="A6" s="11" t="s">
        <v>6</v>
      </c>
      <c r="B6" s="11">
        <v>3.6779999999999999</v>
      </c>
      <c r="C6" s="12">
        <f t="shared" si="0"/>
        <v>4.1869999999999994</v>
      </c>
      <c r="D6" s="13">
        <f t="shared" ref="D6:D69" si="1">B6/C6</f>
        <v>0.87843324576068793</v>
      </c>
      <c r="U6"/>
    </row>
    <row r="7" spans="1:21" x14ac:dyDescent="0.35">
      <c r="A7" s="11" t="s">
        <v>7</v>
      </c>
      <c r="B7" s="11">
        <v>5.7489999999999997</v>
      </c>
      <c r="C7" s="5">
        <f t="shared" si="0"/>
        <v>4.4327499999999995</v>
      </c>
      <c r="D7" s="5">
        <f t="shared" si="1"/>
        <v>1.296937566973098</v>
      </c>
      <c r="U7"/>
    </row>
    <row r="8" spans="1:21" x14ac:dyDescent="0.35">
      <c r="A8" s="11" t="s">
        <v>8</v>
      </c>
      <c r="B8" s="11">
        <v>4.359</v>
      </c>
      <c r="C8" s="5">
        <f t="shared" si="0"/>
        <v>4.6838750000000005</v>
      </c>
      <c r="D8" s="5">
        <f t="shared" si="1"/>
        <v>0.9306396946972324</v>
      </c>
      <c r="U8"/>
    </row>
    <row r="9" spans="1:21" x14ac:dyDescent="0.35">
      <c r="A9" s="11" t="s">
        <v>9</v>
      </c>
      <c r="B9" s="14">
        <v>4.37</v>
      </c>
      <c r="C9" s="5">
        <f t="shared" si="0"/>
        <v>5.0004999999999997</v>
      </c>
      <c r="D9" s="5">
        <f t="shared" si="1"/>
        <v>0.87391260873912613</v>
      </c>
      <c r="U9"/>
    </row>
    <row r="10" spans="1:21" x14ac:dyDescent="0.35">
      <c r="A10" s="11" t="s">
        <v>10</v>
      </c>
      <c r="B10" s="14">
        <v>4.8369999999999997</v>
      </c>
      <c r="C10" s="5">
        <f t="shared" si="0"/>
        <v>5.2881250000000009</v>
      </c>
      <c r="D10" s="5">
        <f t="shared" si="1"/>
        <v>0.91469093487767383</v>
      </c>
      <c r="U10"/>
    </row>
    <row r="11" spans="1:21" x14ac:dyDescent="0.35">
      <c r="A11" s="11" t="s">
        <v>11</v>
      </c>
      <c r="B11" s="14">
        <v>7.1230000000000002</v>
      </c>
      <c r="C11" s="5">
        <f t="shared" si="0"/>
        <v>5.5531250000000005</v>
      </c>
      <c r="D11" s="5">
        <f t="shared" si="1"/>
        <v>1.2827011817670231</v>
      </c>
      <c r="U11"/>
    </row>
    <row r="12" spans="1:21" x14ac:dyDescent="0.35">
      <c r="A12" s="11" t="s">
        <v>12</v>
      </c>
      <c r="B12" s="14">
        <v>5.2859999999999996</v>
      </c>
      <c r="C12" s="5">
        <f t="shared" si="0"/>
        <v>5.9233749999999992</v>
      </c>
      <c r="D12" s="5">
        <f t="shared" si="1"/>
        <v>0.8923966488699433</v>
      </c>
      <c r="U12"/>
    </row>
    <row r="13" spans="1:21" x14ac:dyDescent="0.35">
      <c r="A13" s="11" t="s">
        <v>13</v>
      </c>
      <c r="B13" s="14">
        <v>5.5629999999999997</v>
      </c>
      <c r="C13" s="5">
        <f t="shared" si="0"/>
        <v>6.5578749999999992</v>
      </c>
      <c r="D13" s="5">
        <f t="shared" si="1"/>
        <v>0.84829308274402915</v>
      </c>
      <c r="U13"/>
    </row>
    <row r="14" spans="1:21" x14ac:dyDescent="0.35">
      <c r="A14" s="11" t="s">
        <v>14</v>
      </c>
      <c r="B14" s="14">
        <v>6.6059999999999999</v>
      </c>
      <c r="C14" s="5">
        <f t="shared" si="0"/>
        <v>7.3079999999999998</v>
      </c>
      <c r="D14" s="5">
        <f t="shared" si="1"/>
        <v>0.90394088669950734</v>
      </c>
      <c r="U14"/>
    </row>
    <row r="15" spans="1:21" x14ac:dyDescent="0.35">
      <c r="A15" s="11" t="s">
        <v>15</v>
      </c>
      <c r="B15" s="11">
        <v>10.43</v>
      </c>
      <c r="C15" s="5">
        <f t="shared" si="0"/>
        <v>7.8945000000000007</v>
      </c>
      <c r="D15" s="5">
        <f t="shared" si="1"/>
        <v>1.3211729685223887</v>
      </c>
      <c r="U15"/>
    </row>
    <row r="16" spans="1:21" x14ac:dyDescent="0.35">
      <c r="A16" s="11" t="s">
        <v>16</v>
      </c>
      <c r="B16" s="11">
        <v>7.98</v>
      </c>
      <c r="C16" s="5">
        <f t="shared" si="0"/>
        <v>8.7584999999999997</v>
      </c>
      <c r="D16" s="5">
        <f t="shared" si="1"/>
        <v>0.91111491693783186</v>
      </c>
      <c r="U16"/>
    </row>
    <row r="17" spans="1:21" x14ac:dyDescent="0.35">
      <c r="A17" s="11" t="s">
        <v>30</v>
      </c>
      <c r="B17" s="11">
        <v>7.5609999999999999</v>
      </c>
      <c r="C17" s="5">
        <f t="shared" si="0"/>
        <v>9.5539999999999985</v>
      </c>
      <c r="D17" s="5">
        <f t="shared" si="1"/>
        <v>0.79139627381201605</v>
      </c>
      <c r="U17"/>
    </row>
    <row r="18" spans="1:21" x14ac:dyDescent="0.35">
      <c r="A18" s="11" t="s">
        <v>31</v>
      </c>
      <c r="B18" s="11">
        <v>11.52</v>
      </c>
      <c r="C18" s="5">
        <f t="shared" si="0"/>
        <v>9.8732500000000005</v>
      </c>
      <c r="D18" s="5">
        <f t="shared" si="1"/>
        <v>1.1667890512242676</v>
      </c>
      <c r="U18"/>
    </row>
    <row r="19" spans="1:21" x14ac:dyDescent="0.35">
      <c r="A19" s="11" t="s">
        <v>32</v>
      </c>
      <c r="B19" s="11">
        <v>11.88</v>
      </c>
      <c r="C19" s="5">
        <f t="shared" si="0"/>
        <v>10.282874999999999</v>
      </c>
      <c r="D19" s="5">
        <f t="shared" si="1"/>
        <v>1.1553189161591484</v>
      </c>
      <c r="U19"/>
    </row>
    <row r="20" spans="1:21" x14ac:dyDescent="0.35">
      <c r="A20" s="11" t="s">
        <v>33</v>
      </c>
      <c r="B20" s="11">
        <v>9.0839999999999996</v>
      </c>
      <c r="C20" s="5">
        <f t="shared" si="0"/>
        <v>10.640374999999999</v>
      </c>
      <c r="D20" s="5">
        <f t="shared" si="1"/>
        <v>0.85372930935234903</v>
      </c>
      <c r="U20"/>
    </row>
    <row r="21" spans="1:21" x14ac:dyDescent="0.35">
      <c r="A21" s="11" t="s">
        <v>34</v>
      </c>
      <c r="B21" s="11">
        <v>9.734</v>
      </c>
      <c r="C21" s="5">
        <f t="shared" si="0"/>
        <v>11.201625</v>
      </c>
      <c r="D21" s="5">
        <f t="shared" si="1"/>
        <v>0.86898106301541067</v>
      </c>
      <c r="U21"/>
    </row>
    <row r="22" spans="1:21" x14ac:dyDescent="0.35">
      <c r="A22" s="11" t="s">
        <v>35</v>
      </c>
      <c r="B22" s="11">
        <v>12.207000000000001</v>
      </c>
      <c r="C22" s="5">
        <f t="shared" si="0"/>
        <v>12.228875</v>
      </c>
      <c r="D22" s="5">
        <f t="shared" si="1"/>
        <v>0.99821120094857463</v>
      </c>
      <c r="U22"/>
    </row>
    <row r="23" spans="1:21" x14ac:dyDescent="0.35">
      <c r="A23" s="11" t="s">
        <v>36</v>
      </c>
      <c r="B23" s="11">
        <v>15.683</v>
      </c>
      <c r="C23" s="5">
        <f t="shared" si="0"/>
        <v>13.5265</v>
      </c>
      <c r="D23" s="5">
        <f t="shared" si="1"/>
        <v>1.1594277898939118</v>
      </c>
      <c r="U23"/>
    </row>
    <row r="24" spans="1:21" x14ac:dyDescent="0.35">
      <c r="A24" s="11" t="s">
        <v>37</v>
      </c>
      <c r="B24" s="11">
        <v>13.499000000000001</v>
      </c>
      <c r="C24" s="5">
        <f t="shared" si="0"/>
        <v>15.289250000000001</v>
      </c>
      <c r="D24" s="5">
        <f t="shared" si="1"/>
        <v>0.88290792550321306</v>
      </c>
      <c r="U24"/>
    </row>
    <row r="25" spans="1:21" x14ac:dyDescent="0.35">
      <c r="A25" s="11" t="s">
        <v>38</v>
      </c>
      <c r="B25" s="11">
        <v>15.7</v>
      </c>
      <c r="C25" s="5">
        <f t="shared" si="0"/>
        <v>17.688499999999998</v>
      </c>
      <c r="D25" s="5">
        <f t="shared" si="1"/>
        <v>0.8875823275009187</v>
      </c>
      <c r="U25"/>
    </row>
    <row r="26" spans="1:21" x14ac:dyDescent="0.35">
      <c r="A26" s="11" t="s">
        <v>39</v>
      </c>
      <c r="B26" s="11">
        <v>20.343</v>
      </c>
      <c r="C26" s="5">
        <f t="shared" si="0"/>
        <v>20.466750000000001</v>
      </c>
      <c r="D26" s="5">
        <f t="shared" si="1"/>
        <v>0.99395360768075047</v>
      </c>
      <c r="U26"/>
    </row>
    <row r="27" spans="1:21" x14ac:dyDescent="0.35">
      <c r="A27" s="11" t="s">
        <v>40</v>
      </c>
      <c r="B27" s="11">
        <v>26.741</v>
      </c>
      <c r="C27" s="5">
        <f t="shared" si="0"/>
        <v>23.471625</v>
      </c>
      <c r="D27" s="5">
        <f t="shared" si="1"/>
        <v>1.1392905263270012</v>
      </c>
      <c r="U27"/>
    </row>
    <row r="28" spans="1:21" x14ac:dyDescent="0.35">
      <c r="A28" s="11" t="s">
        <v>41</v>
      </c>
      <c r="B28" s="11">
        <v>24.667000000000002</v>
      </c>
      <c r="C28" s="5">
        <f t="shared" si="0"/>
        <v>26.071375</v>
      </c>
      <c r="D28" s="5">
        <f t="shared" si="1"/>
        <v>0.94613345095914592</v>
      </c>
      <c r="U28"/>
    </row>
    <row r="29" spans="1:21" x14ac:dyDescent="0.35">
      <c r="A29" s="11" t="s">
        <v>42</v>
      </c>
      <c r="B29" s="11">
        <v>28.571000000000002</v>
      </c>
      <c r="C29" s="5">
        <f t="shared" si="0"/>
        <v>29.51125</v>
      </c>
      <c r="D29" s="5">
        <f t="shared" si="1"/>
        <v>0.96813926892286839</v>
      </c>
      <c r="U29"/>
    </row>
    <row r="30" spans="1:21" x14ac:dyDescent="0.35">
      <c r="A30" s="11" t="s">
        <v>43</v>
      </c>
      <c r="B30" s="11">
        <v>28.27</v>
      </c>
      <c r="C30" s="5">
        <f t="shared" si="0"/>
        <v>33.775125000000003</v>
      </c>
      <c r="D30" s="5">
        <f t="shared" si="1"/>
        <v>0.83700652477229909</v>
      </c>
      <c r="U30"/>
    </row>
    <row r="31" spans="1:21" x14ac:dyDescent="0.35">
      <c r="A31" s="11" t="s">
        <v>44</v>
      </c>
      <c r="B31" s="11">
        <v>46.332999999999998</v>
      </c>
      <c r="C31" s="5">
        <f t="shared" si="0"/>
        <v>36.396500000000003</v>
      </c>
      <c r="D31" s="5">
        <f t="shared" si="1"/>
        <v>1.2730070199057599</v>
      </c>
      <c r="U31"/>
    </row>
    <row r="32" spans="1:21" x14ac:dyDescent="0.35">
      <c r="A32" s="11" t="s">
        <v>45</v>
      </c>
      <c r="B32" s="11">
        <v>39.186</v>
      </c>
      <c r="C32" s="5">
        <f t="shared" si="0"/>
        <v>38.164999999999999</v>
      </c>
      <c r="D32" s="5">
        <f t="shared" si="1"/>
        <v>1.0267522599240142</v>
      </c>
      <c r="U32"/>
    </row>
    <row r="33" spans="1:21" x14ac:dyDescent="0.35">
      <c r="A33" s="11" t="s">
        <v>46</v>
      </c>
      <c r="B33" s="11">
        <v>35.023000000000003</v>
      </c>
      <c r="C33" s="5">
        <f t="shared" si="0"/>
        <v>40.149374999999999</v>
      </c>
      <c r="D33" s="5">
        <f t="shared" si="1"/>
        <v>0.8723174395616371</v>
      </c>
      <c r="U33"/>
    </row>
    <row r="34" spans="1:21" x14ac:dyDescent="0.35">
      <c r="A34" s="11" t="s">
        <v>47</v>
      </c>
      <c r="B34" s="11">
        <v>35.966000000000001</v>
      </c>
      <c r="C34" s="5">
        <f t="shared" si="0"/>
        <v>41.723875</v>
      </c>
      <c r="D34" s="5">
        <f t="shared" si="1"/>
        <v>0.86200047335009033</v>
      </c>
      <c r="U34"/>
    </row>
    <row r="35" spans="1:21" x14ac:dyDescent="0.35">
      <c r="A35" s="11" t="s">
        <v>48</v>
      </c>
      <c r="B35" s="11">
        <v>54.512</v>
      </c>
      <c r="C35" s="5">
        <f t="shared" si="0"/>
        <v>42.313500000000005</v>
      </c>
      <c r="D35" s="5">
        <f t="shared" si="1"/>
        <v>1.2882886076547673</v>
      </c>
      <c r="U35"/>
    </row>
    <row r="36" spans="1:21" x14ac:dyDescent="0.35">
      <c r="A36" s="11" t="s">
        <v>49</v>
      </c>
      <c r="B36" s="11">
        <v>43.603000000000002</v>
      </c>
      <c r="C36" s="5">
        <f t="shared" si="0"/>
        <v>42.539250000000003</v>
      </c>
      <c r="D36" s="5">
        <f t="shared" si="1"/>
        <v>1.0250063176948347</v>
      </c>
      <c r="U36"/>
    </row>
    <row r="37" spans="1:21" x14ac:dyDescent="0.35">
      <c r="A37" s="11" t="s">
        <v>50</v>
      </c>
      <c r="B37" s="11">
        <v>35.323</v>
      </c>
      <c r="C37" s="5">
        <f t="shared" si="0"/>
        <v>43.112749999999998</v>
      </c>
      <c r="D37" s="5">
        <f t="shared" si="1"/>
        <v>0.81931679143640801</v>
      </c>
      <c r="U37"/>
    </row>
    <row r="38" spans="1:21" x14ac:dyDescent="0.35">
      <c r="A38" s="11" t="s">
        <v>51</v>
      </c>
      <c r="B38" s="11">
        <v>37.472000000000001</v>
      </c>
      <c r="C38" s="5">
        <f t="shared" si="0"/>
        <v>43.753375000000005</v>
      </c>
      <c r="D38" s="5">
        <f t="shared" si="1"/>
        <v>0.85643678916197885</v>
      </c>
      <c r="U38"/>
    </row>
    <row r="39" spans="1:21" x14ac:dyDescent="0.35">
      <c r="A39" s="11" t="s">
        <v>52</v>
      </c>
      <c r="B39" s="11">
        <v>57.594000000000001</v>
      </c>
      <c r="C39" s="5">
        <f t="shared" si="0"/>
        <v>44.272374999999997</v>
      </c>
      <c r="D39" s="5">
        <f t="shared" si="1"/>
        <v>1.3009015215470145</v>
      </c>
      <c r="U39"/>
    </row>
    <row r="40" spans="1:21" x14ac:dyDescent="0.35">
      <c r="A40" s="11" t="s">
        <v>53</v>
      </c>
      <c r="B40" s="11">
        <v>45.646000000000001</v>
      </c>
      <c r="C40" s="5">
        <f t="shared" si="0"/>
        <v>45.117375000000003</v>
      </c>
      <c r="D40" s="5">
        <f t="shared" si="1"/>
        <v>1.0117166612640918</v>
      </c>
      <c r="U40"/>
    </row>
    <row r="41" spans="1:21" x14ac:dyDescent="0.35">
      <c r="A41" s="11" t="s">
        <v>54</v>
      </c>
      <c r="B41" s="11">
        <v>37.432000000000002</v>
      </c>
      <c r="C41" s="5">
        <f t="shared" si="0"/>
        <v>47.824374999999996</v>
      </c>
      <c r="D41" s="5">
        <f t="shared" si="1"/>
        <v>0.78269710790783997</v>
      </c>
      <c r="U41"/>
    </row>
    <row r="42" spans="1:21" x14ac:dyDescent="0.35">
      <c r="A42" s="11" t="s">
        <v>55</v>
      </c>
      <c r="B42" s="11">
        <v>42.122999999999998</v>
      </c>
      <c r="C42" s="5">
        <f t="shared" si="0"/>
        <v>51.4955</v>
      </c>
      <c r="D42" s="5">
        <f t="shared" si="1"/>
        <v>0.81799380528395682</v>
      </c>
      <c r="U42"/>
    </row>
    <row r="43" spans="1:21" x14ac:dyDescent="0.35">
      <c r="A43" s="11" t="s">
        <v>56</v>
      </c>
      <c r="B43" s="11">
        <v>74.599000000000004</v>
      </c>
      <c r="C43" s="5">
        <f t="shared" si="0"/>
        <v>54.562625000000004</v>
      </c>
      <c r="D43" s="5">
        <f t="shared" si="1"/>
        <v>1.367217944517882</v>
      </c>
      <c r="U43"/>
    </row>
    <row r="44" spans="1:21" x14ac:dyDescent="0.35">
      <c r="A44" s="11" t="s">
        <v>57</v>
      </c>
      <c r="B44" s="11">
        <v>58.01</v>
      </c>
      <c r="C44" s="5">
        <f t="shared" si="0"/>
        <v>57.256499999999996</v>
      </c>
      <c r="D44" s="5">
        <f t="shared" si="1"/>
        <v>1.0131600778950862</v>
      </c>
      <c r="U44"/>
    </row>
    <row r="45" spans="1:21" x14ac:dyDescent="0.35">
      <c r="A45" s="11" t="s">
        <v>58</v>
      </c>
      <c r="B45" s="11">
        <v>49.604999999999997</v>
      </c>
      <c r="C45" s="5">
        <f t="shared" si="0"/>
        <v>58.587874999999997</v>
      </c>
      <c r="D45" s="5">
        <f t="shared" si="1"/>
        <v>0.84667689346985187</v>
      </c>
      <c r="U45"/>
    </row>
    <row r="46" spans="1:21" x14ac:dyDescent="0.35">
      <c r="A46" s="11" t="s">
        <v>59</v>
      </c>
      <c r="B46" s="11">
        <v>51.500999999999998</v>
      </c>
      <c r="C46" s="5">
        <f t="shared" si="0"/>
        <v>57.815375000000003</v>
      </c>
      <c r="D46" s="5">
        <f t="shared" si="1"/>
        <v>0.89078380967000548</v>
      </c>
      <c r="U46"/>
    </row>
    <row r="47" spans="1:21" x14ac:dyDescent="0.35">
      <c r="A47" s="11" t="s">
        <v>60</v>
      </c>
      <c r="B47" s="11">
        <v>75.872</v>
      </c>
      <c r="C47" s="5">
        <f t="shared" si="0"/>
        <v>55.977875000000004</v>
      </c>
      <c r="D47" s="5">
        <f t="shared" si="1"/>
        <v>1.3553926439687107</v>
      </c>
      <c r="U47"/>
    </row>
    <row r="48" spans="1:21" x14ac:dyDescent="0.35">
      <c r="A48" s="11" t="s">
        <v>61</v>
      </c>
      <c r="B48" s="11">
        <v>50.557000000000002</v>
      </c>
      <c r="C48" s="5">
        <f t="shared" si="0"/>
        <v>54.490874999999996</v>
      </c>
      <c r="D48" s="5">
        <f t="shared" si="1"/>
        <v>0.92780671993246588</v>
      </c>
      <c r="U48"/>
    </row>
    <row r="49" spans="1:21" x14ac:dyDescent="0.35">
      <c r="A49" s="11" t="s">
        <v>62</v>
      </c>
      <c r="B49" s="11">
        <v>42.357999999999997</v>
      </c>
      <c r="C49" s="5">
        <f t="shared" si="0"/>
        <v>54.219625000000001</v>
      </c>
      <c r="D49" s="5">
        <f t="shared" si="1"/>
        <v>0.78123004354972936</v>
      </c>
      <c r="U49"/>
    </row>
    <row r="50" spans="1:21" x14ac:dyDescent="0.35">
      <c r="A50" s="11" t="s">
        <v>63</v>
      </c>
      <c r="B50" s="11">
        <v>46.851999999999997</v>
      </c>
      <c r="C50" s="5">
        <f t="shared" si="0"/>
        <v>54.821874999999999</v>
      </c>
      <c r="D50" s="5">
        <f t="shared" si="1"/>
        <v>0.85462235649546825</v>
      </c>
      <c r="U50"/>
    </row>
    <row r="51" spans="1:21" x14ac:dyDescent="0.35">
      <c r="A51" s="11" t="s">
        <v>64</v>
      </c>
      <c r="B51" s="11">
        <v>78.350999999999999</v>
      </c>
      <c r="C51" s="5">
        <f t="shared" si="0"/>
        <v>55.4955</v>
      </c>
      <c r="D51" s="5">
        <f t="shared" si="1"/>
        <v>1.4118442035840744</v>
      </c>
      <c r="U51"/>
    </row>
    <row r="52" spans="1:21" x14ac:dyDescent="0.35">
      <c r="A52" s="11" t="s">
        <v>65</v>
      </c>
      <c r="B52" s="11">
        <v>52.896000000000001</v>
      </c>
      <c r="C52" s="5">
        <f t="shared" si="0"/>
        <v>56.592625000000005</v>
      </c>
      <c r="D52" s="5">
        <f t="shared" si="1"/>
        <v>0.93468009303332367</v>
      </c>
      <c r="U52"/>
    </row>
    <row r="53" spans="1:21" x14ac:dyDescent="0.35">
      <c r="A53" s="11" t="s">
        <v>66</v>
      </c>
      <c r="B53" s="11">
        <v>45.408000000000001</v>
      </c>
      <c r="C53" s="5">
        <f t="shared" si="0"/>
        <v>58.551250000000003</v>
      </c>
      <c r="D53" s="5">
        <f t="shared" si="1"/>
        <v>0.77552571465169395</v>
      </c>
      <c r="U53"/>
    </row>
    <row r="54" spans="1:21" x14ac:dyDescent="0.35">
      <c r="A54" s="11" t="s">
        <v>67</v>
      </c>
      <c r="B54" s="11">
        <v>52.579000000000001</v>
      </c>
      <c r="C54" s="5">
        <f t="shared" si="0"/>
        <v>60.824125000000002</v>
      </c>
      <c r="D54" s="5">
        <f t="shared" si="1"/>
        <v>0.86444317941277415</v>
      </c>
      <c r="U54"/>
    </row>
    <row r="55" spans="1:21" x14ac:dyDescent="0.35">
      <c r="A55" s="11" t="s">
        <v>68</v>
      </c>
      <c r="B55" s="11">
        <v>88.293000000000006</v>
      </c>
      <c r="C55" s="5">
        <f t="shared" si="0"/>
        <v>62.836375000000004</v>
      </c>
      <c r="D55" s="5">
        <f t="shared" si="1"/>
        <v>1.405125613945744</v>
      </c>
      <c r="U55"/>
    </row>
    <row r="56" spans="1:21" x14ac:dyDescent="0.35">
      <c r="A56" s="11" t="s">
        <v>69</v>
      </c>
      <c r="B56" s="11">
        <v>61.137</v>
      </c>
      <c r="C56" s="5">
        <f t="shared" si="0"/>
        <v>65.108625000000004</v>
      </c>
      <c r="D56" s="5">
        <f t="shared" si="1"/>
        <v>0.93900001727881666</v>
      </c>
      <c r="U56"/>
    </row>
    <row r="57" spans="1:21" x14ac:dyDescent="0.35">
      <c r="A57" s="11" t="s">
        <v>70</v>
      </c>
      <c r="B57" s="11">
        <v>53.265000000000001</v>
      </c>
      <c r="C57" s="5">
        <f t="shared" si="0"/>
        <v>65.900874999999999</v>
      </c>
      <c r="D57" s="5">
        <f t="shared" si="1"/>
        <v>0.80825937440132622</v>
      </c>
      <c r="U57"/>
    </row>
    <row r="58" spans="1:21" x14ac:dyDescent="0.35">
      <c r="A58" s="11" t="s">
        <v>71</v>
      </c>
      <c r="B58" s="11">
        <v>62.9</v>
      </c>
      <c r="C58" s="5">
        <f t="shared" si="0"/>
        <v>65.012749999999997</v>
      </c>
      <c r="D58" s="5">
        <f t="shared" si="1"/>
        <v>0.96750252835020822</v>
      </c>
      <c r="U58"/>
    </row>
    <row r="59" spans="1:21" x14ac:dyDescent="0.35">
      <c r="A59" s="11" t="s">
        <v>72</v>
      </c>
      <c r="B59" s="11">
        <v>84.31</v>
      </c>
      <c r="C59" s="5">
        <f t="shared" si="0"/>
        <v>64.6905</v>
      </c>
      <c r="D59" s="5">
        <f t="shared" si="1"/>
        <v>1.3032825530796639</v>
      </c>
      <c r="U59"/>
    </row>
    <row r="60" spans="1:21" x14ac:dyDescent="0.35">
      <c r="A60" s="11" t="s">
        <v>73</v>
      </c>
      <c r="B60" s="11">
        <v>58.015000000000001</v>
      </c>
      <c r="C60" s="5">
        <f t="shared" si="0"/>
        <v>64.900999999999996</v>
      </c>
      <c r="D60" s="5">
        <f t="shared" si="1"/>
        <v>0.89389993990847605</v>
      </c>
      <c r="U60"/>
    </row>
    <row r="61" spans="1:21" x14ac:dyDescent="0.35">
      <c r="A61" s="11" t="s">
        <v>74</v>
      </c>
      <c r="B61" s="11">
        <v>53.808999999999997</v>
      </c>
      <c r="C61" s="5">
        <f t="shared" si="0"/>
        <v>65.982124999999996</v>
      </c>
      <c r="D61" s="5">
        <f t="shared" si="1"/>
        <v>0.81550874573984999</v>
      </c>
      <c r="U61"/>
    </row>
    <row r="62" spans="1:21" x14ac:dyDescent="0.35">
      <c r="A62" s="11" t="s">
        <v>75</v>
      </c>
      <c r="B62" s="11">
        <v>64.040000000000006</v>
      </c>
      <c r="C62" s="5">
        <f t="shared" si="0"/>
        <v>66.957999999999998</v>
      </c>
      <c r="D62" s="5">
        <f t="shared" si="1"/>
        <v>0.95642044266555171</v>
      </c>
      <c r="U62"/>
    </row>
    <row r="63" spans="1:21" x14ac:dyDescent="0.35">
      <c r="A63" s="11" t="s">
        <v>76</v>
      </c>
      <c r="B63" s="11">
        <v>91.819000000000003</v>
      </c>
      <c r="C63" s="5">
        <f t="shared" si="0"/>
        <v>67.729749999999996</v>
      </c>
      <c r="D63" s="5">
        <f t="shared" si="1"/>
        <v>1.3556671920389491</v>
      </c>
      <c r="U63"/>
    </row>
    <row r="64" spans="1:21" x14ac:dyDescent="0.35">
      <c r="A64" s="11" t="s">
        <v>77</v>
      </c>
      <c r="B64" s="11">
        <v>58.313000000000002</v>
      </c>
      <c r="C64" s="5">
        <f t="shared" si="0"/>
        <v>68.546500000000009</v>
      </c>
      <c r="D64" s="5">
        <f t="shared" si="1"/>
        <v>0.85070718417424662</v>
      </c>
      <c r="U64"/>
    </row>
    <row r="65" spans="1:21" x14ac:dyDescent="0.35">
      <c r="A65" s="11" t="s">
        <v>78</v>
      </c>
      <c r="B65" s="11">
        <v>59.685000000000002</v>
      </c>
      <c r="C65" s="5">
        <f t="shared" si="0"/>
        <v>71.081249999999997</v>
      </c>
      <c r="D65" s="5">
        <f t="shared" si="1"/>
        <v>0.83967290952255347</v>
      </c>
      <c r="U65"/>
    </row>
    <row r="66" spans="1:21" x14ac:dyDescent="0.35">
      <c r="A66" s="11" t="s">
        <v>79</v>
      </c>
      <c r="B66" s="11">
        <v>64.697999999999993</v>
      </c>
      <c r="C66" s="5">
        <f t="shared" si="0"/>
        <v>77.442624999999992</v>
      </c>
      <c r="D66" s="5">
        <f t="shared" si="1"/>
        <v>0.83543139194984672</v>
      </c>
      <c r="U66"/>
    </row>
    <row r="67" spans="1:21" x14ac:dyDescent="0.35">
      <c r="A67" s="11" t="s">
        <v>80</v>
      </c>
      <c r="B67" s="11">
        <v>111.43899999999999</v>
      </c>
      <c r="C67" s="5">
        <f t="shared" si="0"/>
        <v>84.07012499999999</v>
      </c>
      <c r="D67" s="5">
        <f t="shared" si="1"/>
        <v>1.3255481658912724</v>
      </c>
      <c r="U67"/>
    </row>
    <row r="68" spans="1:21" x14ac:dyDescent="0.35">
      <c r="A68" s="11" t="s">
        <v>81</v>
      </c>
      <c r="B68" s="11">
        <v>89.584000000000003</v>
      </c>
      <c r="C68" s="5">
        <f t="shared" si="0"/>
        <v>89.121499999999997</v>
      </c>
      <c r="D68" s="5">
        <f t="shared" si="1"/>
        <v>1.0051895446104475</v>
      </c>
      <c r="U68"/>
    </row>
    <row r="69" spans="1:21" x14ac:dyDescent="0.35">
      <c r="A69" s="11" t="s">
        <v>82</v>
      </c>
      <c r="B69" s="11">
        <v>81.433999999999997</v>
      </c>
      <c r="C69" s="5">
        <f t="shared" si="0"/>
        <v>93.017499999999984</v>
      </c>
      <c r="D69" s="5">
        <f t="shared" si="1"/>
        <v>0.87546966968581197</v>
      </c>
      <c r="U69"/>
    </row>
    <row r="70" spans="1:21" x14ac:dyDescent="0.35">
      <c r="A70" s="11" t="s">
        <v>83</v>
      </c>
      <c r="B70" s="11">
        <v>83.36</v>
      </c>
      <c r="C70" s="5">
        <f t="shared" si="0"/>
        <v>95.54249999999999</v>
      </c>
      <c r="D70" s="5">
        <f t="shared" ref="D70:D87" si="2">B70/C70</f>
        <v>0.87249129968338701</v>
      </c>
      <c r="U70"/>
    </row>
    <row r="71" spans="1:21" x14ac:dyDescent="0.35">
      <c r="A71" s="11" t="s">
        <v>84</v>
      </c>
      <c r="B71" s="11">
        <v>123.94499999999999</v>
      </c>
      <c r="C71" s="5">
        <f t="shared" si="0"/>
        <v>96.694874999999996</v>
      </c>
      <c r="D71" s="5">
        <f t="shared" si="2"/>
        <v>1.2818156081178036</v>
      </c>
      <c r="U71"/>
    </row>
    <row r="72" spans="1:21" x14ac:dyDescent="0.35">
      <c r="A72" s="11" t="s">
        <v>85</v>
      </c>
      <c r="B72" s="11">
        <v>97.278000000000006</v>
      </c>
      <c r="C72" s="5">
        <f t="shared" si="0"/>
        <v>97.733750000000001</v>
      </c>
      <c r="D72" s="5">
        <f t="shared" si="2"/>
        <v>0.99533682069909324</v>
      </c>
      <c r="U72"/>
    </row>
    <row r="73" spans="1:21" x14ac:dyDescent="0.35">
      <c r="A73" s="11" t="s">
        <v>86</v>
      </c>
      <c r="B73" s="11">
        <v>82.959000000000003</v>
      </c>
      <c r="C73" s="5">
        <f t="shared" si="0"/>
        <v>97.733125000000001</v>
      </c>
      <c r="D73" s="5">
        <f t="shared" si="2"/>
        <v>0.84883195948149615</v>
      </c>
      <c r="U73"/>
    </row>
    <row r="74" spans="1:21" x14ac:dyDescent="0.35">
      <c r="A74" s="11" t="s">
        <v>17</v>
      </c>
      <c r="B74" s="11">
        <v>90.146000000000001</v>
      </c>
      <c r="C74" s="5">
        <f t="shared" si="0"/>
        <v>96.579000000000008</v>
      </c>
      <c r="D74" s="5">
        <f t="shared" si="2"/>
        <v>0.93339131695296074</v>
      </c>
      <c r="U74"/>
    </row>
    <row r="75" spans="1:21" x14ac:dyDescent="0.35">
      <c r="A75" s="11" t="s">
        <v>18</v>
      </c>
      <c r="B75" s="11">
        <v>117.154</v>
      </c>
      <c r="C75" s="5">
        <f t="shared" si="0"/>
        <v>96.128500000000003</v>
      </c>
      <c r="D75" s="5">
        <f t="shared" si="2"/>
        <v>1.2187228553446687</v>
      </c>
      <c r="U75"/>
    </row>
    <row r="76" spans="1:21" x14ac:dyDescent="0.35">
      <c r="A76" s="11" t="s">
        <v>19</v>
      </c>
      <c r="B76" s="11">
        <v>94.835999999999999</v>
      </c>
      <c r="C76" s="5">
        <f t="shared" si="0"/>
        <v>95.902250000000009</v>
      </c>
      <c r="D76" s="5">
        <f t="shared" si="2"/>
        <v>0.98888190840152335</v>
      </c>
      <c r="U76"/>
    </row>
    <row r="77" spans="1:21" x14ac:dyDescent="0.35">
      <c r="A77" s="11" t="s">
        <v>20</v>
      </c>
      <c r="B77" s="11">
        <v>81.796999999999997</v>
      </c>
      <c r="C77" s="5">
        <f t="shared" si="0"/>
        <v>96.123874999999998</v>
      </c>
      <c r="D77" s="5">
        <f t="shared" si="2"/>
        <v>0.85095404237500827</v>
      </c>
      <c r="U77"/>
    </row>
    <row r="78" spans="1:21" x14ac:dyDescent="0.35">
      <c r="A78" s="11" t="s">
        <v>21</v>
      </c>
      <c r="B78" s="11">
        <v>89.498000000000005</v>
      </c>
      <c r="C78" s="5">
        <f t="shared" si="0"/>
        <v>95.916125000000008</v>
      </c>
      <c r="D78" s="5">
        <f t="shared" si="2"/>
        <v>0.93308606868761634</v>
      </c>
      <c r="U78"/>
    </row>
    <row r="79" spans="1:21" x14ac:dyDescent="0.35">
      <c r="A79" s="11" t="s">
        <v>88</v>
      </c>
      <c r="B79" s="11">
        <v>119.575</v>
      </c>
      <c r="C79" s="5">
        <f t="shared" si="0"/>
        <v>95.903250000000014</v>
      </c>
      <c r="D79" s="5">
        <f t="shared" si="2"/>
        <v>1.2468294870090428</v>
      </c>
      <c r="U79"/>
    </row>
    <row r="80" spans="1:21" x14ac:dyDescent="0.35">
      <c r="A80" s="11" t="s">
        <v>89</v>
      </c>
      <c r="B80" s="11">
        <v>90.753</v>
      </c>
      <c r="C80" s="5">
        <f t="shared" si="0"/>
        <v>97.079750000000018</v>
      </c>
      <c r="D80" s="5">
        <f t="shared" si="2"/>
        <v>0.93482935421650737</v>
      </c>
      <c r="U80"/>
    </row>
    <row r="81" spans="1:21" x14ac:dyDescent="0.35">
      <c r="A81" s="11" t="s">
        <v>90</v>
      </c>
      <c r="B81" s="11">
        <v>85.777000000000001</v>
      </c>
      <c r="C81" s="5">
        <f t="shared" si="0"/>
        <v>98.349375000000009</v>
      </c>
      <c r="D81" s="5">
        <f t="shared" si="2"/>
        <v>0.87216619322695232</v>
      </c>
      <c r="U81"/>
    </row>
    <row r="82" spans="1:21" x14ac:dyDescent="0.35">
      <c r="A82" s="11" t="s">
        <v>91</v>
      </c>
      <c r="B82" s="11">
        <v>94.93</v>
      </c>
      <c r="C82" s="5">
        <f t="shared" si="0"/>
        <v>99.515750000000011</v>
      </c>
      <c r="D82" s="5">
        <f t="shared" si="2"/>
        <v>0.95391935447404053</v>
      </c>
      <c r="U82"/>
    </row>
    <row r="83" spans="1:21" x14ac:dyDescent="0.35">
      <c r="A83" s="11" t="s">
        <v>92</v>
      </c>
      <c r="B83" s="11">
        <v>124.3</v>
      </c>
      <c r="C83" s="5">
        <f t="shared" si="0"/>
        <v>101.123875</v>
      </c>
      <c r="D83" s="5">
        <f t="shared" si="2"/>
        <v>1.2291854915567664</v>
      </c>
      <c r="U83"/>
    </row>
    <row r="84" spans="1:21" x14ac:dyDescent="0.35">
      <c r="A84" s="11" t="s">
        <v>93</v>
      </c>
      <c r="B84" s="11">
        <v>95.358999999999995</v>
      </c>
      <c r="C84" s="5">
        <f t="shared" si="0"/>
        <v>103.09824999999999</v>
      </c>
      <c r="D84" s="5">
        <f t="shared" si="2"/>
        <v>0.92493325541413163</v>
      </c>
      <c r="U84"/>
    </row>
    <row r="85" spans="1:21" x14ac:dyDescent="0.35">
      <c r="A85" s="11" t="s">
        <v>94</v>
      </c>
      <c r="B85" s="11">
        <v>94.036000000000001</v>
      </c>
      <c r="C85" s="5">
        <f t="shared" si="0"/>
        <v>106.47224999999999</v>
      </c>
      <c r="D85" s="5">
        <f t="shared" si="2"/>
        <v>0.88319726501506268</v>
      </c>
      <c r="U85"/>
    </row>
    <row r="86" spans="1:21" x14ac:dyDescent="0.35">
      <c r="A86" s="11" t="s">
        <v>95</v>
      </c>
      <c r="B86" s="11">
        <v>102.46599999999999</v>
      </c>
      <c r="C86" s="5">
        <f t="shared" si="0"/>
        <v>110.88237500000001</v>
      </c>
      <c r="D86" s="5">
        <f t="shared" si="2"/>
        <v>0.92409636788533778</v>
      </c>
      <c r="U86"/>
    </row>
    <row r="87" spans="1:21" x14ac:dyDescent="0.35">
      <c r="A87" s="11" t="s">
        <v>96</v>
      </c>
      <c r="B87" s="11">
        <v>143.756</v>
      </c>
      <c r="C87" s="5">
        <f t="shared" ref="C87" si="3">(0.5*B85+SUM(B86:B88)+0.5*B89)/4</f>
        <v>114.783125</v>
      </c>
      <c r="D87" s="5">
        <f t="shared" si="2"/>
        <v>1.2524140634784078</v>
      </c>
      <c r="U87"/>
    </row>
    <row r="88" spans="1:21" x14ac:dyDescent="0.35">
      <c r="A88" s="11" t="s">
        <v>97</v>
      </c>
      <c r="B88" s="11">
        <v>111.184</v>
      </c>
      <c r="C88" s="5" t="s">
        <v>2</v>
      </c>
      <c r="D88" s="5" t="s">
        <v>2</v>
      </c>
      <c r="U88"/>
    </row>
    <row r="89" spans="1:21" x14ac:dyDescent="0.35">
      <c r="A89" s="11" t="s">
        <v>98</v>
      </c>
      <c r="B89" s="11">
        <v>109.417</v>
      </c>
      <c r="C89" s="5" t="s">
        <v>2</v>
      </c>
      <c r="D89" s="5" t="s">
        <v>2</v>
      </c>
      <c r="U89"/>
    </row>
    <row r="90" spans="1:21" x14ac:dyDescent="0.35">
      <c r="B90" t="s">
        <v>87</v>
      </c>
      <c r="U90"/>
    </row>
    <row r="91" spans="1:21" x14ac:dyDescent="0.35">
      <c r="B91" t="s">
        <v>87</v>
      </c>
      <c r="U91"/>
    </row>
    <row r="92" spans="1:21" x14ac:dyDescent="0.35">
      <c r="A92" s="27" t="s">
        <v>101</v>
      </c>
      <c r="B92" s="28"/>
      <c r="C92" s="28"/>
      <c r="D92" s="28"/>
      <c r="E92" s="29"/>
      <c r="U92"/>
    </row>
    <row r="93" spans="1:21" x14ac:dyDescent="0.35">
      <c r="A93" s="15" t="s">
        <v>0</v>
      </c>
      <c r="B93" s="15" t="s">
        <v>24</v>
      </c>
      <c r="C93" s="15" t="s">
        <v>25</v>
      </c>
      <c r="D93" s="15" t="s">
        <v>26</v>
      </c>
      <c r="E93" s="15" t="s">
        <v>27</v>
      </c>
      <c r="U93"/>
    </row>
    <row r="94" spans="1:21" x14ac:dyDescent="0.35">
      <c r="A94" s="15">
        <v>2005</v>
      </c>
      <c r="B94" s="7" t="str" cm="1">
        <f t="array" ref="B94:E94">TRANSPOSE(D3:D6)</f>
        <v>NA</v>
      </c>
      <c r="C94" s="7" t="str">
        <v>NA</v>
      </c>
      <c r="D94" s="6">
        <v>0.93489591979017961</v>
      </c>
      <c r="E94" s="6">
        <v>0.87843324576068793</v>
      </c>
      <c r="U94"/>
    </row>
    <row r="95" spans="1:21" x14ac:dyDescent="0.35">
      <c r="A95" s="15">
        <v>2006</v>
      </c>
      <c r="B95" s="8" cm="1">
        <f t="array" ref="B95:E95">TRANSPOSE(D7:D10)</f>
        <v>1.296937566973098</v>
      </c>
      <c r="C95" s="8">
        <v>0.9306396946972324</v>
      </c>
      <c r="D95" s="5">
        <v>0.87391260873912613</v>
      </c>
      <c r="E95" s="5">
        <v>0.91469093487767383</v>
      </c>
      <c r="U95"/>
    </row>
    <row r="96" spans="1:21" x14ac:dyDescent="0.35">
      <c r="A96" s="15">
        <v>2007</v>
      </c>
      <c r="B96" s="8" cm="1">
        <f t="array" ref="B96:E96">TRANSPOSE(D11:D14)</f>
        <v>1.2827011817670231</v>
      </c>
      <c r="C96" s="8">
        <v>0.8923966488699433</v>
      </c>
      <c r="D96" s="5">
        <v>0.84829308274402915</v>
      </c>
      <c r="E96" s="5">
        <v>0.90394088669950734</v>
      </c>
      <c r="U96"/>
    </row>
    <row r="97" spans="1:21" x14ac:dyDescent="0.35">
      <c r="A97" s="15">
        <v>2008</v>
      </c>
      <c r="B97" s="8" cm="1">
        <f t="array" ref="B97:E97">TRANSPOSE(D15:D18)</f>
        <v>1.3211729685223887</v>
      </c>
      <c r="C97" s="8">
        <v>0.91111491693783186</v>
      </c>
      <c r="D97" s="5">
        <v>0.79139627381201605</v>
      </c>
      <c r="E97" s="5">
        <v>1.1667890512242676</v>
      </c>
      <c r="U97"/>
    </row>
    <row r="98" spans="1:21" x14ac:dyDescent="0.35">
      <c r="A98" s="15">
        <v>2009</v>
      </c>
      <c r="B98" s="8" cm="1">
        <f t="array" ref="B98:E98">TRANSPOSE(D19:D22)</f>
        <v>1.1553189161591484</v>
      </c>
      <c r="C98" s="8">
        <v>0.85372930935234903</v>
      </c>
      <c r="D98" s="5">
        <v>0.86898106301541067</v>
      </c>
      <c r="E98" s="5">
        <v>0.99821120094857463</v>
      </c>
      <c r="U98"/>
    </row>
    <row r="99" spans="1:21" x14ac:dyDescent="0.35">
      <c r="A99" s="15">
        <v>2010</v>
      </c>
      <c r="B99" s="7" cm="1">
        <f t="array" ref="B99:E99">IF(LEN(D23)&gt;0,TRANSPOSE(D23:D26),"")</f>
        <v>1.1594277898939118</v>
      </c>
      <c r="C99" s="7">
        <v>0.88290792550321306</v>
      </c>
      <c r="D99" s="6">
        <v>0.8875823275009187</v>
      </c>
      <c r="E99" s="6">
        <v>0.99395360768075047</v>
      </c>
      <c r="U99"/>
    </row>
    <row r="100" spans="1:21" x14ac:dyDescent="0.35">
      <c r="A100" s="15">
        <v>2011</v>
      </c>
      <c r="B100" s="7" cm="1">
        <f t="array" ref="B100:E100">IF(LEN(D27)&gt;0,TRANSPOSE(D27:D30),"")</f>
        <v>1.1392905263270012</v>
      </c>
      <c r="C100" s="7">
        <v>0.94613345095914592</v>
      </c>
      <c r="D100" s="6">
        <v>0.96813926892286839</v>
      </c>
      <c r="E100" s="6">
        <v>0.83700652477229909</v>
      </c>
      <c r="U100"/>
    </row>
    <row r="101" spans="1:21" x14ac:dyDescent="0.35">
      <c r="A101" s="15">
        <v>2012</v>
      </c>
      <c r="B101" s="7" cm="1">
        <f t="array" ref="B101:E101">IF(LEN(D31)&gt;0,TRANSPOSE(D31:D34),"")</f>
        <v>1.2730070199057599</v>
      </c>
      <c r="C101" s="7">
        <v>1.0267522599240142</v>
      </c>
      <c r="D101" s="6">
        <v>0.8723174395616371</v>
      </c>
      <c r="E101" s="6">
        <v>0.86200047335009033</v>
      </c>
      <c r="U101"/>
    </row>
    <row r="102" spans="1:21" x14ac:dyDescent="0.35">
      <c r="A102" s="15">
        <v>2013</v>
      </c>
      <c r="B102" s="7" cm="1">
        <f t="array" ref="B102:E102">IF(LEN(D35)&gt;0,TRANSPOSE(D35:D38),"")</f>
        <v>1.2882886076547673</v>
      </c>
      <c r="C102" s="7">
        <v>1.0250063176948347</v>
      </c>
      <c r="D102" s="6">
        <v>0.81931679143640801</v>
      </c>
      <c r="E102" s="6">
        <v>0.85643678916197885</v>
      </c>
      <c r="U102"/>
    </row>
    <row r="103" spans="1:21" x14ac:dyDescent="0.35">
      <c r="A103" s="15">
        <v>2014</v>
      </c>
      <c r="B103" s="7" cm="1">
        <f t="array" ref="B103:E103">IF(LEN(D39)&gt;0,TRANSPOSE(D39:D42),"")</f>
        <v>1.3009015215470145</v>
      </c>
      <c r="C103" s="7">
        <v>1.0117166612640918</v>
      </c>
      <c r="D103" s="6">
        <v>0.78269710790783997</v>
      </c>
      <c r="E103" s="6">
        <v>0.81799380528395682</v>
      </c>
      <c r="U103"/>
    </row>
    <row r="104" spans="1:21" x14ac:dyDescent="0.35">
      <c r="A104" s="15">
        <v>2015</v>
      </c>
      <c r="B104" s="7" cm="1">
        <f t="array" ref="B104:E104">IF(LEN(D43)&gt;0,TRANSPOSE(D43:D46),"")</f>
        <v>1.367217944517882</v>
      </c>
      <c r="C104" s="7">
        <v>1.0131600778950862</v>
      </c>
      <c r="D104" s="6">
        <v>0.84667689346985187</v>
      </c>
      <c r="E104" s="6">
        <v>0.89078380967000548</v>
      </c>
      <c r="U104"/>
    </row>
    <row r="105" spans="1:21" x14ac:dyDescent="0.35">
      <c r="A105" s="15">
        <v>2016</v>
      </c>
      <c r="B105" s="7" cm="1">
        <f t="array" ref="B105:E105">IF(LEN(D47)&gt;0,TRANSPOSE(D47:D50),"")</f>
        <v>1.3553926439687107</v>
      </c>
      <c r="C105" s="7">
        <v>0.92780671993246588</v>
      </c>
      <c r="D105" s="6">
        <v>0.78123004354972936</v>
      </c>
      <c r="E105" s="6">
        <v>0.85462235649546825</v>
      </c>
      <c r="U105"/>
    </row>
    <row r="106" spans="1:21" x14ac:dyDescent="0.35">
      <c r="A106" s="15">
        <v>2017</v>
      </c>
      <c r="B106" s="7" cm="1">
        <f t="array" ref="B106:E106">IF(LEN(D51)&gt;0,TRANSPOSE(D51:D54),"")</f>
        <v>1.4118442035840744</v>
      </c>
      <c r="C106" s="7">
        <v>0.93468009303332367</v>
      </c>
      <c r="D106" s="6">
        <v>0.77552571465169395</v>
      </c>
      <c r="E106" s="6">
        <v>0.86444317941277415</v>
      </c>
      <c r="U106"/>
    </row>
    <row r="107" spans="1:21" x14ac:dyDescent="0.35">
      <c r="A107" s="15">
        <v>2018</v>
      </c>
      <c r="B107" s="7" cm="1">
        <f t="array" ref="B107:E107">IF(LEN(D55)&gt;0,TRANSPOSE(D55:D58),"")</f>
        <v>1.405125613945744</v>
      </c>
      <c r="C107" s="7">
        <v>0.93900001727881666</v>
      </c>
      <c r="D107" s="6">
        <v>0.80825937440132622</v>
      </c>
      <c r="E107" s="6">
        <v>0.96750252835020822</v>
      </c>
      <c r="U107"/>
    </row>
    <row r="108" spans="1:21" x14ac:dyDescent="0.35">
      <c r="A108" s="15">
        <v>2019</v>
      </c>
      <c r="B108" s="7" cm="1">
        <f t="array" ref="B108:E108">IF(LEN(D59)&gt;0,TRANSPOSE(D59:D62),"")</f>
        <v>1.3032825530796639</v>
      </c>
      <c r="C108" s="7">
        <v>0.89389993990847605</v>
      </c>
      <c r="D108" s="6">
        <v>0.81550874573984999</v>
      </c>
      <c r="E108" s="6">
        <v>0.95642044266555171</v>
      </c>
      <c r="U108"/>
    </row>
    <row r="109" spans="1:21" x14ac:dyDescent="0.35">
      <c r="A109" s="15">
        <v>2020</v>
      </c>
      <c r="B109" s="7" cm="1">
        <f t="array" ref="B109:E109">IF(LEN(D63)&gt;0,TRANSPOSE(D63:D66),"")</f>
        <v>1.3556671920389491</v>
      </c>
      <c r="C109" s="7">
        <v>0.85070718417424662</v>
      </c>
      <c r="D109" s="6">
        <v>0.83967290952255347</v>
      </c>
      <c r="E109" s="6">
        <v>0.83543139194984672</v>
      </c>
      <c r="U109"/>
    </row>
    <row r="110" spans="1:21" x14ac:dyDescent="0.35">
      <c r="A110" s="15">
        <v>2021</v>
      </c>
      <c r="B110" s="7" cm="1">
        <f t="array" ref="B110:E110">IF(LEN(D67)&gt;0,TRANSPOSE(D67:D70),"")</f>
        <v>1.3255481658912724</v>
      </c>
      <c r="C110" s="7">
        <v>1.0051895446104475</v>
      </c>
      <c r="D110" s="6">
        <v>0.87546966968581197</v>
      </c>
      <c r="E110" s="6">
        <v>0.87249129968338701</v>
      </c>
      <c r="U110"/>
    </row>
    <row r="111" spans="1:21" x14ac:dyDescent="0.35">
      <c r="A111" s="15">
        <v>2022</v>
      </c>
      <c r="B111" s="7" cm="1">
        <f t="array" ref="B111:E111">IF(LEN(D71)&gt;0,TRANSPOSE(D71:D74),"")</f>
        <v>1.2818156081178036</v>
      </c>
      <c r="C111" s="7">
        <v>0.99533682069909324</v>
      </c>
      <c r="D111" s="6">
        <v>0.84883195948149615</v>
      </c>
      <c r="E111" s="6">
        <v>0.93339131695296074</v>
      </c>
      <c r="U111"/>
    </row>
    <row r="112" spans="1:21" x14ac:dyDescent="0.35">
      <c r="A112" s="15">
        <v>2023</v>
      </c>
      <c r="B112" s="7" cm="1">
        <f t="array" ref="B112:E112">IF(LEN(D75)&gt;0,TRANSPOSE(D75:D78),"")</f>
        <v>1.2187228553446687</v>
      </c>
      <c r="C112" s="7">
        <v>0.98888190840152335</v>
      </c>
      <c r="D112" s="6">
        <v>0.85095404237500827</v>
      </c>
      <c r="E112" s="6">
        <v>0.93308606868761634</v>
      </c>
      <c r="U112"/>
    </row>
    <row r="113" spans="1:21" x14ac:dyDescent="0.35">
      <c r="A113" s="15">
        <v>2024</v>
      </c>
      <c r="B113" s="7" cm="1">
        <f t="array" ref="B113:E113">IF(LEN(D79)&gt;0,TRANSPOSE(D79:D82),"")</f>
        <v>1.2468294870090428</v>
      </c>
      <c r="C113" s="7">
        <v>0.93482935421650737</v>
      </c>
      <c r="D113" s="6">
        <v>0.87216619322695232</v>
      </c>
      <c r="E113" s="6">
        <v>0.95391935447404053</v>
      </c>
      <c r="U113"/>
    </row>
    <row r="114" spans="1:21" x14ac:dyDescent="0.35">
      <c r="A114" s="15">
        <v>2025</v>
      </c>
      <c r="B114" s="7" cm="1">
        <f t="array" ref="B114:E114">IF(LEN(D83)&gt;0,TRANSPOSE(D83:D86),"")</f>
        <v>1.2291854915567664</v>
      </c>
      <c r="C114" s="7">
        <v>0.92493325541413163</v>
      </c>
      <c r="D114" s="6">
        <v>0.88319726501506268</v>
      </c>
      <c r="E114" s="6">
        <v>0.92409636788533778</v>
      </c>
      <c r="U114"/>
    </row>
    <row r="115" spans="1:21" x14ac:dyDescent="0.35">
      <c r="A115" s="15">
        <v>2026</v>
      </c>
      <c r="B115" s="7" cm="1">
        <f t="array" ref="B115:D115">IF(LEN(D87)&gt;0,TRANSPOSE(D87:D89),"")</f>
        <v>1.2524140634784078</v>
      </c>
      <c r="C115" s="7" t="str">
        <v>NA</v>
      </c>
      <c r="D115" s="6" t="str">
        <v>NA</v>
      </c>
      <c r="E115" s="6" t="s">
        <v>2</v>
      </c>
      <c r="U115"/>
    </row>
    <row r="116" spans="1:21" ht="25" customHeight="1" x14ac:dyDescent="0.35">
      <c r="A116" s="4"/>
      <c r="B116" s="16"/>
      <c r="C116" s="17"/>
      <c r="D116" s="17"/>
      <c r="E116" s="17"/>
      <c r="F116" s="3" t="s">
        <v>99</v>
      </c>
      <c r="G116" s="1"/>
      <c r="H116" s="1"/>
      <c r="U116"/>
    </row>
    <row r="117" spans="1:21" ht="22" customHeight="1" x14ac:dyDescent="0.35">
      <c r="A117" s="18" t="s">
        <v>1</v>
      </c>
      <c r="B117" s="6">
        <f>AVERAGE(B94:B115)</f>
        <v>1.2842900914896718</v>
      </c>
      <c r="C117" s="5">
        <f t="shared" ref="C117:E117" si="4">AVERAGE(C94:C115)</f>
        <v>0.94444110503833889</v>
      </c>
      <c r="D117" s="5">
        <f t="shared" si="4"/>
        <v>0.84976308069284623</v>
      </c>
      <c r="E117" s="5">
        <f t="shared" si="4"/>
        <v>0.91503069695176109</v>
      </c>
      <c r="F117" s="5">
        <f>AVERAGE(B117:E117)</f>
        <v>0.9983812435431545</v>
      </c>
      <c r="U117"/>
    </row>
    <row r="118" spans="1:21" ht="22" customHeight="1" x14ac:dyDescent="0.35">
      <c r="A118" s="18"/>
      <c r="B118" s="6">
        <f>B117/$F$117</f>
        <v>1.2863724151425917</v>
      </c>
      <c r="C118" s="5">
        <f t="shared" ref="C118:E118" si="5">C117/$F$117</f>
        <v>0.94597240397527149</v>
      </c>
      <c r="D118" s="5">
        <f t="shared" si="5"/>
        <v>0.85114087047260889</v>
      </c>
      <c r="E118" s="5">
        <f t="shared" si="5"/>
        <v>0.9165143104095278</v>
      </c>
      <c r="U118"/>
    </row>
    <row r="119" spans="1:21" x14ac:dyDescent="0.35">
      <c r="U119"/>
    </row>
    <row r="120" spans="1:21" x14ac:dyDescent="0.35">
      <c r="U120"/>
    </row>
    <row r="121" spans="1:21" ht="45" customHeight="1" x14ac:dyDescent="0.35">
      <c r="A121" s="24" t="s">
        <v>102</v>
      </c>
      <c r="B121" s="25"/>
      <c r="C121" s="25"/>
      <c r="D121" s="25"/>
      <c r="E121" s="25"/>
      <c r="F121" s="25"/>
      <c r="G121" s="26"/>
      <c r="U121"/>
    </row>
    <row r="122" spans="1:21" ht="29" x14ac:dyDescent="0.35">
      <c r="A122" s="9" t="s">
        <v>23</v>
      </c>
      <c r="B122" s="10" t="s">
        <v>22</v>
      </c>
      <c r="C122" s="9"/>
      <c r="D122" s="9"/>
      <c r="E122" s="20"/>
      <c r="F122" s="9" t="s">
        <v>28</v>
      </c>
      <c r="G122" s="19" t="s">
        <v>29</v>
      </c>
      <c r="U122"/>
    </row>
    <row r="123" spans="1:21" x14ac:dyDescent="0.35">
      <c r="A123" s="20" t="str">
        <f t="shared" ref="A123:A154" si="6">A3</f>
        <v>2005 Q1</v>
      </c>
      <c r="B123" s="20">
        <f>IF(LEN(B3)&gt;0,B3,"")</f>
        <v>3.49</v>
      </c>
      <c r="C123" s="7" t="str">
        <f t="shared" ref="C123:D123" si="7">IF(LEN(C3)&gt;0,C3,"")</f>
        <v>NA</v>
      </c>
      <c r="D123" s="7" t="str">
        <f t="shared" si="7"/>
        <v>NA</v>
      </c>
      <c r="E123" s="7" cm="1">
        <f t="array" ref="E123:E126">TRANSPOSE(B118:E118)</f>
        <v>1.2863724151425917</v>
      </c>
      <c r="F123" s="7" t="s">
        <v>2</v>
      </c>
      <c r="G123" s="7">
        <f>B123/E123</f>
        <v>2.7130556897188605</v>
      </c>
    </row>
    <row r="124" spans="1:21" x14ac:dyDescent="0.35">
      <c r="A124" s="20" t="str">
        <f t="shared" si="6"/>
        <v>2005 Q2</v>
      </c>
      <c r="B124" s="20">
        <f t="shared" ref="B124:D187" si="8">IF(LEN(B4)&gt;0,B4,"")</f>
        <v>3.2429999999999999</v>
      </c>
      <c r="C124" s="7" t="str">
        <f t="shared" si="8"/>
        <v>NA</v>
      </c>
      <c r="D124" s="7" t="str">
        <f t="shared" si="8"/>
        <v>NA</v>
      </c>
      <c r="E124" s="5">
        <v>0.94597240397527149</v>
      </c>
      <c r="F124" s="7" t="s">
        <v>2</v>
      </c>
      <c r="G124" s="7">
        <f t="shared" ref="G124:G127" si="9">B124/E124</f>
        <v>3.4282183987311901</v>
      </c>
      <c r="M124" s="2"/>
      <c r="U124"/>
    </row>
    <row r="125" spans="1:21" x14ac:dyDescent="0.35">
      <c r="A125" s="20" t="str">
        <f t="shared" si="6"/>
        <v>2005 Q3</v>
      </c>
      <c r="B125" s="20">
        <f t="shared" si="8"/>
        <v>3.52</v>
      </c>
      <c r="C125" s="7">
        <f t="shared" si="8"/>
        <v>3.7651249999999998</v>
      </c>
      <c r="D125" s="7">
        <f t="shared" si="8"/>
        <v>0.93489591979017961</v>
      </c>
      <c r="E125" s="5">
        <v>0.85114087047260889</v>
      </c>
      <c r="F125" s="7">
        <f t="shared" ref="F125:F127" si="10">B125/C125/E125</f>
        <v>1.0984032752076216</v>
      </c>
      <c r="G125" s="7">
        <f t="shared" si="9"/>
        <v>4.1356256315660964</v>
      </c>
      <c r="M125" s="2"/>
      <c r="U125"/>
    </row>
    <row r="126" spans="1:21" x14ac:dyDescent="0.35">
      <c r="A126" s="20" t="str">
        <f t="shared" si="6"/>
        <v>2005 Q4</v>
      </c>
      <c r="B126" s="20">
        <f t="shared" si="8"/>
        <v>3.6779999999999999</v>
      </c>
      <c r="C126" s="7">
        <f t="shared" si="8"/>
        <v>4.1869999999999994</v>
      </c>
      <c r="D126" s="7">
        <f t="shared" si="8"/>
        <v>0.87843324576068793</v>
      </c>
      <c r="E126" s="5">
        <v>0.9165143104095278</v>
      </c>
      <c r="F126" s="6">
        <f t="shared" si="10"/>
        <v>0.95845011450849682</v>
      </c>
      <c r="G126" s="6">
        <f t="shared" si="9"/>
        <v>4.0130306294470754</v>
      </c>
      <c r="M126" s="2"/>
      <c r="U126"/>
    </row>
    <row r="127" spans="1:21" x14ac:dyDescent="0.35">
      <c r="A127" s="20" t="str">
        <f t="shared" si="6"/>
        <v>2006 Q1</v>
      </c>
      <c r="B127" s="20">
        <f t="shared" si="8"/>
        <v>5.7489999999999997</v>
      </c>
      <c r="C127" s="5">
        <f t="shared" si="8"/>
        <v>4.4327499999999995</v>
      </c>
      <c r="D127" s="5">
        <f t="shared" si="8"/>
        <v>1.296937566973098</v>
      </c>
      <c r="E127" s="5">
        <f>E123</f>
        <v>1.2863724151425917</v>
      </c>
      <c r="F127" s="5">
        <f t="shared" si="10"/>
        <v>1.0082131361852431</v>
      </c>
      <c r="G127" s="5">
        <f t="shared" si="9"/>
        <v>4.4691567794251368</v>
      </c>
      <c r="M127" s="2"/>
      <c r="U127"/>
    </row>
    <row r="128" spans="1:21" x14ac:dyDescent="0.35">
      <c r="A128" s="20" t="str">
        <f t="shared" si="6"/>
        <v>2006 Q2</v>
      </c>
      <c r="B128" s="20">
        <f t="shared" si="8"/>
        <v>4.359</v>
      </c>
      <c r="C128" s="5">
        <f t="shared" si="8"/>
        <v>4.6838750000000005</v>
      </c>
      <c r="D128" s="5">
        <f t="shared" si="8"/>
        <v>0.9306396946972324</v>
      </c>
      <c r="E128" s="5">
        <f t="shared" ref="E128:E191" si="11">E124</f>
        <v>0.94597240397527149</v>
      </c>
      <c r="F128" s="5">
        <f t="shared" ref="F128:F191" si="12">B128/C128/E128</f>
        <v>0.98379158925397159</v>
      </c>
      <c r="G128" s="5">
        <f t="shared" ref="G128:G191" si="13">B128/E128</f>
        <v>4.6079568301169473</v>
      </c>
      <c r="M128" s="2"/>
      <c r="U128"/>
    </row>
    <row r="129" spans="1:21" x14ac:dyDescent="0.35">
      <c r="A129" s="20" t="str">
        <f t="shared" si="6"/>
        <v>2006 Q3</v>
      </c>
      <c r="B129" s="20">
        <f t="shared" si="8"/>
        <v>4.37</v>
      </c>
      <c r="C129" s="5">
        <f t="shared" si="8"/>
        <v>5.0004999999999997</v>
      </c>
      <c r="D129" s="5">
        <f t="shared" si="8"/>
        <v>0.87391260873912613</v>
      </c>
      <c r="E129" s="5">
        <f t="shared" si="11"/>
        <v>0.85114087047260889</v>
      </c>
      <c r="F129" s="5">
        <f t="shared" si="12"/>
        <v>1.0267543705824782</v>
      </c>
      <c r="G129" s="5">
        <f t="shared" si="13"/>
        <v>5.1342852300976825</v>
      </c>
      <c r="M129" s="2"/>
      <c r="U129"/>
    </row>
    <row r="130" spans="1:21" x14ac:dyDescent="0.35">
      <c r="A130" s="20" t="str">
        <f t="shared" si="6"/>
        <v>2006 Q4</v>
      </c>
      <c r="B130" s="20">
        <f t="shared" si="8"/>
        <v>4.8369999999999997</v>
      </c>
      <c r="C130" s="5">
        <f t="shared" si="8"/>
        <v>5.2881250000000009</v>
      </c>
      <c r="D130" s="5">
        <f t="shared" si="8"/>
        <v>0.91469093487767383</v>
      </c>
      <c r="E130" s="5">
        <f t="shared" si="11"/>
        <v>0.9165143104095278</v>
      </c>
      <c r="F130" s="5">
        <f t="shared" si="12"/>
        <v>0.99801053239306303</v>
      </c>
      <c r="G130" s="5">
        <f t="shared" si="13"/>
        <v>5.2776044466110674</v>
      </c>
      <c r="M130" s="2"/>
      <c r="U130"/>
    </row>
    <row r="131" spans="1:21" x14ac:dyDescent="0.35">
      <c r="A131" s="20" t="str">
        <f t="shared" si="6"/>
        <v>2007 Q1</v>
      </c>
      <c r="B131" s="20">
        <f t="shared" si="8"/>
        <v>7.1230000000000002</v>
      </c>
      <c r="C131" s="5">
        <f t="shared" si="8"/>
        <v>5.5531250000000005</v>
      </c>
      <c r="D131" s="5">
        <f t="shared" si="8"/>
        <v>1.2827011817670231</v>
      </c>
      <c r="E131" s="5">
        <f t="shared" si="11"/>
        <v>1.2863724151425917</v>
      </c>
      <c r="F131" s="5">
        <f t="shared" si="12"/>
        <v>0.99714605713528015</v>
      </c>
      <c r="G131" s="5">
        <f t="shared" si="13"/>
        <v>5.5372766985293529</v>
      </c>
      <c r="M131" s="2"/>
      <c r="U131"/>
    </row>
    <row r="132" spans="1:21" x14ac:dyDescent="0.35">
      <c r="A132" s="20" t="str">
        <f t="shared" si="6"/>
        <v>2007 Q2</v>
      </c>
      <c r="B132" s="20">
        <f t="shared" si="8"/>
        <v>5.2859999999999996</v>
      </c>
      <c r="C132" s="5">
        <f t="shared" si="8"/>
        <v>5.9233749999999992</v>
      </c>
      <c r="D132" s="5">
        <f t="shared" si="8"/>
        <v>0.8923966488699433</v>
      </c>
      <c r="E132" s="5">
        <f t="shared" si="11"/>
        <v>0.94597240397527149</v>
      </c>
      <c r="F132" s="5">
        <f t="shared" si="12"/>
        <v>0.9433643572685777</v>
      </c>
      <c r="G132" s="5">
        <f t="shared" si="13"/>
        <v>5.5879008497357603</v>
      </c>
      <c r="M132" s="2"/>
      <c r="U132"/>
    </row>
    <row r="133" spans="1:21" x14ac:dyDescent="0.35">
      <c r="A133" s="20" t="str">
        <f t="shared" si="6"/>
        <v>2007 Q3</v>
      </c>
      <c r="B133" s="20">
        <f t="shared" si="8"/>
        <v>5.5629999999999997</v>
      </c>
      <c r="C133" s="5">
        <f t="shared" si="8"/>
        <v>6.5578749999999992</v>
      </c>
      <c r="D133" s="5">
        <f t="shared" si="8"/>
        <v>0.84829308274402915</v>
      </c>
      <c r="E133" s="5">
        <f t="shared" si="11"/>
        <v>0.85114087047260889</v>
      </c>
      <c r="F133" s="5">
        <f t="shared" si="12"/>
        <v>0.99665415229443932</v>
      </c>
      <c r="G133" s="5">
        <f t="shared" si="13"/>
        <v>6.5359333489778955</v>
      </c>
      <c r="M133" s="2"/>
      <c r="U133"/>
    </row>
    <row r="134" spans="1:21" x14ac:dyDescent="0.35">
      <c r="A134" s="20" t="str">
        <f t="shared" si="6"/>
        <v>2007 Q4</v>
      </c>
      <c r="B134" s="20">
        <f t="shared" si="8"/>
        <v>6.6059999999999999</v>
      </c>
      <c r="C134" s="5">
        <f t="shared" si="8"/>
        <v>7.3079999999999998</v>
      </c>
      <c r="D134" s="5">
        <f t="shared" si="8"/>
        <v>0.90394088669950734</v>
      </c>
      <c r="E134" s="5">
        <f t="shared" si="11"/>
        <v>0.9165143104095278</v>
      </c>
      <c r="F134" s="5">
        <f t="shared" si="12"/>
        <v>0.98628125762225982</v>
      </c>
      <c r="G134" s="5">
        <f t="shared" si="13"/>
        <v>7.2077434307034753</v>
      </c>
      <c r="M134" s="2"/>
      <c r="U134"/>
    </row>
    <row r="135" spans="1:21" x14ac:dyDescent="0.35">
      <c r="A135" s="20" t="str">
        <f t="shared" si="6"/>
        <v>2008 Q1</v>
      </c>
      <c r="B135" s="20">
        <f t="shared" si="8"/>
        <v>10.43</v>
      </c>
      <c r="C135" s="5">
        <f t="shared" si="8"/>
        <v>7.8945000000000007</v>
      </c>
      <c r="D135" s="5">
        <f t="shared" si="8"/>
        <v>1.3211729685223887</v>
      </c>
      <c r="E135" s="5">
        <f t="shared" si="11"/>
        <v>1.2863724151425917</v>
      </c>
      <c r="F135" s="5">
        <f t="shared" si="12"/>
        <v>1.0270532490981155</v>
      </c>
      <c r="G135" s="5">
        <f t="shared" si="13"/>
        <v>8.1080718750050753</v>
      </c>
      <c r="M135" s="2"/>
      <c r="U135"/>
    </row>
    <row r="136" spans="1:21" x14ac:dyDescent="0.35">
      <c r="A136" s="20" t="str">
        <f t="shared" si="6"/>
        <v>2008 Q2</v>
      </c>
      <c r="B136" s="20">
        <f t="shared" si="8"/>
        <v>7.98</v>
      </c>
      <c r="C136" s="5">
        <f t="shared" si="8"/>
        <v>8.7584999999999997</v>
      </c>
      <c r="D136" s="5">
        <f t="shared" si="8"/>
        <v>0.91111491693783186</v>
      </c>
      <c r="E136" s="5">
        <f t="shared" si="11"/>
        <v>0.94597240397527149</v>
      </c>
      <c r="F136" s="5">
        <f t="shared" si="12"/>
        <v>0.96315168720466093</v>
      </c>
      <c r="G136" s="5">
        <f t="shared" si="13"/>
        <v>8.435764052382023</v>
      </c>
      <c r="M136" s="2"/>
      <c r="U136"/>
    </row>
    <row r="137" spans="1:21" x14ac:dyDescent="0.35">
      <c r="A137" s="20" t="str">
        <f t="shared" si="6"/>
        <v>2008 Q3</v>
      </c>
      <c r="B137" s="20">
        <f t="shared" si="8"/>
        <v>7.5609999999999999</v>
      </c>
      <c r="C137" s="5">
        <f t="shared" si="8"/>
        <v>9.5539999999999985</v>
      </c>
      <c r="D137" s="5">
        <f t="shared" si="8"/>
        <v>0.79139627381201605</v>
      </c>
      <c r="E137" s="5">
        <f t="shared" si="11"/>
        <v>0.85114087047260889</v>
      </c>
      <c r="F137" s="5">
        <f t="shared" si="12"/>
        <v>0.92980645304058918</v>
      </c>
      <c r="G137" s="5">
        <f t="shared" si="13"/>
        <v>8.8833708523497883</v>
      </c>
      <c r="M137" s="2"/>
      <c r="U137"/>
    </row>
    <row r="138" spans="1:21" x14ac:dyDescent="0.35">
      <c r="A138" s="20" t="str">
        <f t="shared" si="6"/>
        <v>2008 Q4</v>
      </c>
      <c r="B138" s="20">
        <f t="shared" si="8"/>
        <v>11.52</v>
      </c>
      <c r="C138" s="5">
        <f t="shared" si="8"/>
        <v>9.8732500000000005</v>
      </c>
      <c r="D138" s="5">
        <f t="shared" si="8"/>
        <v>1.1667890512242676</v>
      </c>
      <c r="E138" s="5">
        <f t="shared" si="11"/>
        <v>0.9165143104095278</v>
      </c>
      <c r="F138" s="5">
        <f t="shared" si="12"/>
        <v>1.2730723764726697</v>
      </c>
      <c r="G138" s="5">
        <f t="shared" si="13"/>
        <v>12.569361841008785</v>
      </c>
      <c r="M138" s="2"/>
      <c r="U138"/>
    </row>
    <row r="139" spans="1:21" x14ac:dyDescent="0.35">
      <c r="A139" s="20" t="str">
        <f t="shared" si="6"/>
        <v>2009 Q1</v>
      </c>
      <c r="B139" s="20">
        <f t="shared" si="8"/>
        <v>11.88</v>
      </c>
      <c r="C139" s="5">
        <f t="shared" si="8"/>
        <v>10.282874999999999</v>
      </c>
      <c r="D139" s="5">
        <f t="shared" si="8"/>
        <v>1.1553189161591484</v>
      </c>
      <c r="E139" s="5">
        <f t="shared" si="11"/>
        <v>1.2863724151425917</v>
      </c>
      <c r="F139" s="5">
        <f t="shared" si="12"/>
        <v>0.89812165012189238</v>
      </c>
      <c r="G139" s="5">
        <f t="shared" si="13"/>
        <v>9.2352726629971524</v>
      </c>
      <c r="M139" s="2"/>
      <c r="U139"/>
    </row>
    <row r="140" spans="1:21" x14ac:dyDescent="0.35">
      <c r="A140" s="20" t="str">
        <f t="shared" si="6"/>
        <v>2009 Q2</v>
      </c>
      <c r="B140" s="20">
        <f t="shared" si="8"/>
        <v>9.0839999999999996</v>
      </c>
      <c r="C140" s="5">
        <f t="shared" si="8"/>
        <v>10.640374999999999</v>
      </c>
      <c r="D140" s="5">
        <f t="shared" si="8"/>
        <v>0.85372930935234903</v>
      </c>
      <c r="E140" s="5">
        <f t="shared" si="11"/>
        <v>0.94597240397527149</v>
      </c>
      <c r="F140" s="5">
        <f t="shared" si="12"/>
        <v>0.90248859878439569</v>
      </c>
      <c r="G140" s="5">
        <f t="shared" si="13"/>
        <v>9.602817124290512</v>
      </c>
      <c r="M140" s="2"/>
      <c r="U140"/>
    </row>
    <row r="141" spans="1:21" x14ac:dyDescent="0.35">
      <c r="A141" s="20" t="str">
        <f t="shared" si="6"/>
        <v>2009 Q3</v>
      </c>
      <c r="B141" s="20">
        <f t="shared" si="8"/>
        <v>9.734</v>
      </c>
      <c r="C141" s="5">
        <f t="shared" si="8"/>
        <v>11.201625</v>
      </c>
      <c r="D141" s="5">
        <f t="shared" si="8"/>
        <v>0.86898106301541067</v>
      </c>
      <c r="E141" s="5">
        <f t="shared" si="11"/>
        <v>0.85114087047260889</v>
      </c>
      <c r="F141" s="5">
        <f t="shared" si="12"/>
        <v>1.0209603288500242</v>
      </c>
      <c r="G141" s="5">
        <f t="shared" si="13"/>
        <v>11.436414743654653</v>
      </c>
      <c r="M141" s="2"/>
      <c r="U141"/>
    </row>
    <row r="142" spans="1:21" x14ac:dyDescent="0.35">
      <c r="A142" s="20" t="str">
        <f t="shared" si="6"/>
        <v>2009 Q4</v>
      </c>
      <c r="B142" s="20">
        <f t="shared" si="8"/>
        <v>12.207000000000001</v>
      </c>
      <c r="C142" s="5">
        <f t="shared" si="8"/>
        <v>12.228875</v>
      </c>
      <c r="D142" s="5">
        <f t="shared" si="8"/>
        <v>0.99821120094857463</v>
      </c>
      <c r="E142" s="5">
        <f t="shared" si="11"/>
        <v>0.9165143104095278</v>
      </c>
      <c r="F142" s="5">
        <f t="shared" si="12"/>
        <v>1.0891386960477922</v>
      </c>
      <c r="G142" s="5">
        <f t="shared" si="13"/>
        <v>13.318940971631445</v>
      </c>
      <c r="M142" s="2"/>
      <c r="U142"/>
    </row>
    <row r="143" spans="1:21" x14ac:dyDescent="0.35">
      <c r="A143" s="20" t="str">
        <f t="shared" si="6"/>
        <v>2010 Q1</v>
      </c>
      <c r="B143" s="20">
        <f t="shared" si="8"/>
        <v>15.683</v>
      </c>
      <c r="C143" s="5">
        <f t="shared" si="8"/>
        <v>13.5265</v>
      </c>
      <c r="D143" s="5">
        <f t="shared" si="8"/>
        <v>1.1594277898939118</v>
      </c>
      <c r="E143" s="5">
        <f t="shared" si="11"/>
        <v>1.2863724151425917</v>
      </c>
      <c r="F143" s="5">
        <f t="shared" si="12"/>
        <v>0.90131580578505466</v>
      </c>
      <c r="G143" s="5">
        <f t="shared" si="13"/>
        <v>12.191648246951543</v>
      </c>
      <c r="M143" s="2"/>
      <c r="U143"/>
    </row>
    <row r="144" spans="1:21" x14ac:dyDescent="0.35">
      <c r="A144" s="20" t="str">
        <f t="shared" si="6"/>
        <v>2010 Q2</v>
      </c>
      <c r="B144" s="20">
        <f t="shared" si="8"/>
        <v>13.499000000000001</v>
      </c>
      <c r="C144" s="5">
        <f t="shared" si="8"/>
        <v>15.289250000000001</v>
      </c>
      <c r="D144" s="5">
        <f t="shared" si="8"/>
        <v>0.88290792550321306</v>
      </c>
      <c r="E144" s="5">
        <f t="shared" si="11"/>
        <v>0.94597240397527149</v>
      </c>
      <c r="F144" s="5">
        <f t="shared" si="12"/>
        <v>0.93333370169463525</v>
      </c>
      <c r="G144" s="5">
        <f t="shared" si="13"/>
        <v>14.269972298634702</v>
      </c>
      <c r="M144" s="2"/>
      <c r="U144"/>
    </row>
    <row r="145" spans="1:21" x14ac:dyDescent="0.35">
      <c r="A145" s="20" t="str">
        <f t="shared" si="6"/>
        <v>2010 Q3</v>
      </c>
      <c r="B145" s="20">
        <f t="shared" si="8"/>
        <v>15.7</v>
      </c>
      <c r="C145" s="5">
        <f t="shared" si="8"/>
        <v>17.688499999999998</v>
      </c>
      <c r="D145" s="5">
        <f t="shared" si="8"/>
        <v>0.8875823275009187</v>
      </c>
      <c r="E145" s="5">
        <f t="shared" si="11"/>
        <v>0.85114087047260889</v>
      </c>
      <c r="F145" s="5">
        <f t="shared" si="12"/>
        <v>1.042814836289174</v>
      </c>
      <c r="G145" s="5">
        <f t="shared" si="13"/>
        <v>18.445830231701052</v>
      </c>
      <c r="M145" s="2"/>
      <c r="U145"/>
    </row>
    <row r="146" spans="1:21" x14ac:dyDescent="0.35">
      <c r="A146" s="20" t="str">
        <f t="shared" si="6"/>
        <v>2010 Q4</v>
      </c>
      <c r="B146" s="20">
        <f t="shared" si="8"/>
        <v>20.343</v>
      </c>
      <c r="C146" s="5">
        <f t="shared" si="8"/>
        <v>20.466750000000001</v>
      </c>
      <c r="D146" s="5">
        <f t="shared" si="8"/>
        <v>0.99395360768075047</v>
      </c>
      <c r="E146" s="5">
        <f t="shared" si="11"/>
        <v>0.9165143104095278</v>
      </c>
      <c r="F146" s="5">
        <f t="shared" si="12"/>
        <v>1.0844932767461322</v>
      </c>
      <c r="G146" s="5">
        <f t="shared" si="13"/>
        <v>22.196052771843899</v>
      </c>
      <c r="M146" s="2"/>
      <c r="U146"/>
    </row>
    <row r="147" spans="1:21" x14ac:dyDescent="0.35">
      <c r="A147" s="20" t="str">
        <f t="shared" si="6"/>
        <v>2011 Q1</v>
      </c>
      <c r="B147" s="20">
        <f t="shared" si="8"/>
        <v>26.741</v>
      </c>
      <c r="C147" s="8">
        <f t="shared" si="8"/>
        <v>23.471625</v>
      </c>
      <c r="D147" s="8">
        <f t="shared" si="8"/>
        <v>1.1392905263270012</v>
      </c>
      <c r="E147" s="5">
        <f t="shared" si="11"/>
        <v>1.2863724151425917</v>
      </c>
      <c r="F147" s="5">
        <f t="shared" si="12"/>
        <v>0.88566150277772648</v>
      </c>
      <c r="G147" s="5">
        <f t="shared" si="13"/>
        <v>20.787914670135255</v>
      </c>
      <c r="M147" s="2"/>
      <c r="U147"/>
    </row>
    <row r="148" spans="1:21" x14ac:dyDescent="0.35">
      <c r="A148" s="20" t="str">
        <f t="shared" si="6"/>
        <v>2011 Q2</v>
      </c>
      <c r="B148" s="20">
        <f t="shared" si="8"/>
        <v>24.667000000000002</v>
      </c>
      <c r="C148" s="8">
        <f t="shared" si="8"/>
        <v>26.071375</v>
      </c>
      <c r="D148" s="8">
        <f t="shared" si="8"/>
        <v>0.94613345095914592</v>
      </c>
      <c r="E148" s="5">
        <f t="shared" si="11"/>
        <v>0.94597240397527149</v>
      </c>
      <c r="F148" s="5">
        <f t="shared" si="12"/>
        <v>1.0001702449069314</v>
      </c>
      <c r="G148" s="5">
        <f t="shared" si="13"/>
        <v>26.075813518810445</v>
      </c>
      <c r="M148" s="2"/>
      <c r="U148"/>
    </row>
    <row r="149" spans="1:21" x14ac:dyDescent="0.35">
      <c r="A149" s="20" t="str">
        <f t="shared" si="6"/>
        <v>2011 Q3</v>
      </c>
      <c r="B149" s="20">
        <f t="shared" si="8"/>
        <v>28.571000000000002</v>
      </c>
      <c r="C149" s="8">
        <f t="shared" si="8"/>
        <v>29.51125</v>
      </c>
      <c r="D149" s="8">
        <f t="shared" si="8"/>
        <v>0.96813926892286839</v>
      </c>
      <c r="E149" s="5">
        <f t="shared" si="11"/>
        <v>0.85114087047260889</v>
      </c>
      <c r="F149" s="5">
        <f t="shared" si="12"/>
        <v>1.1374606748531466</v>
      </c>
      <c r="G149" s="5">
        <f t="shared" si="13"/>
        <v>33.567886340759927</v>
      </c>
      <c r="M149" s="2"/>
      <c r="U149"/>
    </row>
    <row r="150" spans="1:21" x14ac:dyDescent="0.35">
      <c r="A150" s="20" t="str">
        <f t="shared" si="6"/>
        <v>2011 Q4</v>
      </c>
      <c r="B150" s="20">
        <f t="shared" si="8"/>
        <v>28.27</v>
      </c>
      <c r="C150" s="8">
        <f t="shared" si="8"/>
        <v>33.775125000000003</v>
      </c>
      <c r="D150" s="8">
        <f t="shared" si="8"/>
        <v>0.83700652477229909</v>
      </c>
      <c r="E150" s="5">
        <f t="shared" si="11"/>
        <v>0.9165143104095278</v>
      </c>
      <c r="F150" s="5">
        <f t="shared" si="12"/>
        <v>0.91324981537745753</v>
      </c>
      <c r="G150" s="5">
        <f t="shared" si="13"/>
        <v>30.845126670600553</v>
      </c>
      <c r="M150" s="2"/>
      <c r="U150"/>
    </row>
    <row r="151" spans="1:21" x14ac:dyDescent="0.35">
      <c r="A151" s="20" t="str">
        <f t="shared" si="6"/>
        <v>2012 Q1</v>
      </c>
      <c r="B151" s="20">
        <f t="shared" si="8"/>
        <v>46.332999999999998</v>
      </c>
      <c r="C151" s="8">
        <f t="shared" si="8"/>
        <v>36.396500000000003</v>
      </c>
      <c r="D151" s="8">
        <f t="shared" si="8"/>
        <v>1.2730070199057599</v>
      </c>
      <c r="E151" s="5">
        <f t="shared" si="11"/>
        <v>1.2863724151425917</v>
      </c>
      <c r="F151" s="5">
        <f t="shared" si="12"/>
        <v>0.9896100110049777</v>
      </c>
      <c r="G151" s="5">
        <f t="shared" si="13"/>
        <v>36.018340765542675</v>
      </c>
      <c r="M151" s="2"/>
      <c r="U151"/>
    </row>
    <row r="152" spans="1:21" x14ac:dyDescent="0.35">
      <c r="A152" s="20" t="str">
        <f t="shared" si="6"/>
        <v>2012 Q2</v>
      </c>
      <c r="B152" s="20">
        <f t="shared" si="8"/>
        <v>39.186</v>
      </c>
      <c r="C152" s="8">
        <f t="shared" si="8"/>
        <v>38.164999999999999</v>
      </c>
      <c r="D152" s="8">
        <f t="shared" si="8"/>
        <v>1.0267522599240142</v>
      </c>
      <c r="E152" s="5">
        <f t="shared" si="11"/>
        <v>0.94597240397527149</v>
      </c>
      <c r="F152" s="5">
        <f t="shared" si="12"/>
        <v>1.0853934592692984</v>
      </c>
      <c r="G152" s="5">
        <f t="shared" si="13"/>
        <v>41.424041373012777</v>
      </c>
      <c r="M152" s="2"/>
      <c r="U152"/>
    </row>
    <row r="153" spans="1:21" x14ac:dyDescent="0.35">
      <c r="A153" s="20" t="str">
        <f t="shared" si="6"/>
        <v>2012 Q3</v>
      </c>
      <c r="B153" s="20">
        <f t="shared" si="8"/>
        <v>35.023000000000003</v>
      </c>
      <c r="C153" s="8">
        <f t="shared" si="8"/>
        <v>40.149374999999999</v>
      </c>
      <c r="D153" s="8">
        <f t="shared" si="8"/>
        <v>0.8723174395616371</v>
      </c>
      <c r="E153" s="5">
        <f t="shared" si="11"/>
        <v>0.85114087047260889</v>
      </c>
      <c r="F153" s="5">
        <f t="shared" si="12"/>
        <v>1.0248802164526181</v>
      </c>
      <c r="G153" s="5">
        <f t="shared" si="13"/>
        <v>41.148300140437328</v>
      </c>
      <c r="M153" s="2"/>
      <c r="U153"/>
    </row>
    <row r="154" spans="1:21" x14ac:dyDescent="0.35">
      <c r="A154" s="20" t="str">
        <f t="shared" si="6"/>
        <v>2012 Q4</v>
      </c>
      <c r="B154" s="20">
        <f t="shared" si="8"/>
        <v>35.966000000000001</v>
      </c>
      <c r="C154" s="8">
        <f t="shared" si="8"/>
        <v>41.723875</v>
      </c>
      <c r="D154" s="8">
        <f t="shared" si="8"/>
        <v>0.86200047335009033</v>
      </c>
      <c r="E154" s="5">
        <f t="shared" si="11"/>
        <v>0.9165143104095278</v>
      </c>
      <c r="F154" s="5">
        <f t="shared" si="12"/>
        <v>0.94052047366824099</v>
      </c>
      <c r="G154" s="5">
        <f t="shared" si="13"/>
        <v>39.242158678274478</v>
      </c>
      <c r="M154" s="2"/>
      <c r="U154"/>
    </row>
    <row r="155" spans="1:21" x14ac:dyDescent="0.35">
      <c r="A155" s="20" t="str">
        <f t="shared" ref="A155:A186" si="14">A35</f>
        <v>2013 Q1</v>
      </c>
      <c r="B155" s="20">
        <f t="shared" si="8"/>
        <v>54.512</v>
      </c>
      <c r="C155" s="8">
        <f t="shared" si="8"/>
        <v>42.313500000000005</v>
      </c>
      <c r="D155" s="8">
        <f t="shared" si="8"/>
        <v>1.2882886076547673</v>
      </c>
      <c r="E155" s="5">
        <f t="shared" si="11"/>
        <v>1.2863724151425917</v>
      </c>
      <c r="F155" s="5">
        <f t="shared" si="12"/>
        <v>1.0014896094549439</v>
      </c>
      <c r="G155" s="5">
        <f t="shared" si="13"/>
        <v>42.376530589671781</v>
      </c>
      <c r="M155" s="2"/>
      <c r="U155"/>
    </row>
    <row r="156" spans="1:21" x14ac:dyDescent="0.35">
      <c r="A156" s="20" t="str">
        <f t="shared" si="14"/>
        <v>2013 Q2</v>
      </c>
      <c r="B156" s="20">
        <f t="shared" si="8"/>
        <v>43.603000000000002</v>
      </c>
      <c r="C156" s="8">
        <f t="shared" si="8"/>
        <v>42.539250000000003</v>
      </c>
      <c r="D156" s="8">
        <f t="shared" si="8"/>
        <v>1.0250063176948347</v>
      </c>
      <c r="E156" s="5">
        <f t="shared" si="11"/>
        <v>0.94597240397527149</v>
      </c>
      <c r="F156" s="5">
        <f t="shared" si="12"/>
        <v>1.0835478005356585</v>
      </c>
      <c r="G156" s="5">
        <f t="shared" si="13"/>
        <v>46.093310773936508</v>
      </c>
      <c r="M156" s="2"/>
      <c r="U156"/>
    </row>
    <row r="157" spans="1:21" x14ac:dyDescent="0.35">
      <c r="A157" s="20" t="str">
        <f t="shared" si="14"/>
        <v>2013 Q3</v>
      </c>
      <c r="B157" s="20">
        <f t="shared" si="8"/>
        <v>35.323</v>
      </c>
      <c r="C157" s="8">
        <f t="shared" si="8"/>
        <v>43.112749999999998</v>
      </c>
      <c r="D157" s="8">
        <f t="shared" si="8"/>
        <v>0.81931679143640801</v>
      </c>
      <c r="E157" s="5">
        <f t="shared" si="11"/>
        <v>0.85114087047260889</v>
      </c>
      <c r="F157" s="5">
        <f t="shared" si="12"/>
        <v>0.96261009177184731</v>
      </c>
      <c r="G157" s="5">
        <f t="shared" si="13"/>
        <v>41.500768234036713</v>
      </c>
      <c r="M157" s="2"/>
      <c r="U157"/>
    </row>
    <row r="158" spans="1:21" x14ac:dyDescent="0.35">
      <c r="A158" s="20" t="str">
        <f t="shared" si="14"/>
        <v>2013 Q4</v>
      </c>
      <c r="B158" s="20">
        <f t="shared" si="8"/>
        <v>37.472000000000001</v>
      </c>
      <c r="C158" s="8">
        <f t="shared" si="8"/>
        <v>43.753375000000005</v>
      </c>
      <c r="D158" s="8">
        <f t="shared" si="8"/>
        <v>0.85643678916197885</v>
      </c>
      <c r="E158" s="5">
        <f t="shared" si="11"/>
        <v>0.9165143104095278</v>
      </c>
      <c r="F158" s="5">
        <f t="shared" si="12"/>
        <v>0.93444999105283544</v>
      </c>
      <c r="G158" s="5">
        <f t="shared" si="13"/>
        <v>40.885340877281358</v>
      </c>
      <c r="M158" s="2"/>
      <c r="U158"/>
    </row>
    <row r="159" spans="1:21" x14ac:dyDescent="0.35">
      <c r="A159" s="20" t="str">
        <f t="shared" si="14"/>
        <v>2014 Q1</v>
      </c>
      <c r="B159" s="20">
        <f t="shared" si="8"/>
        <v>57.594000000000001</v>
      </c>
      <c r="C159" s="8">
        <f t="shared" si="8"/>
        <v>44.272374999999997</v>
      </c>
      <c r="D159" s="8">
        <f t="shared" si="8"/>
        <v>1.3009015215470145</v>
      </c>
      <c r="E159" s="5">
        <f t="shared" si="11"/>
        <v>1.2863724151425917</v>
      </c>
      <c r="F159" s="5">
        <f t="shared" si="12"/>
        <v>1.0112946346123353</v>
      </c>
      <c r="G159" s="5">
        <f t="shared" si="13"/>
        <v>44.772415299045285</v>
      </c>
      <c r="M159" s="2"/>
      <c r="U159"/>
    </row>
    <row r="160" spans="1:21" x14ac:dyDescent="0.35">
      <c r="A160" s="20" t="str">
        <f t="shared" si="14"/>
        <v>2014 Q2</v>
      </c>
      <c r="B160" s="20">
        <f t="shared" si="8"/>
        <v>45.646000000000001</v>
      </c>
      <c r="C160" s="8">
        <f t="shared" si="8"/>
        <v>45.117375000000003</v>
      </c>
      <c r="D160" s="8">
        <f t="shared" si="8"/>
        <v>1.0117166612640918</v>
      </c>
      <c r="E160" s="5">
        <f t="shared" si="11"/>
        <v>0.94597240397527149</v>
      </c>
      <c r="F160" s="5">
        <f t="shared" si="12"/>
        <v>1.0694991281062136</v>
      </c>
      <c r="G160" s="5">
        <f t="shared" si="13"/>
        <v>48.252993224941079</v>
      </c>
      <c r="M160" s="2"/>
      <c r="U160"/>
    </row>
    <row r="161" spans="1:21" x14ac:dyDescent="0.35">
      <c r="A161" s="20" t="str">
        <f t="shared" si="14"/>
        <v>2014 Q3</v>
      </c>
      <c r="B161" s="20">
        <f t="shared" si="8"/>
        <v>37.432000000000002</v>
      </c>
      <c r="C161" s="8">
        <f t="shared" si="8"/>
        <v>47.824374999999996</v>
      </c>
      <c r="D161" s="8">
        <f t="shared" si="8"/>
        <v>0.78269710790783997</v>
      </c>
      <c r="E161" s="5">
        <f t="shared" si="11"/>
        <v>0.85114087047260889</v>
      </c>
      <c r="F161" s="5">
        <f t="shared" si="12"/>
        <v>0.91958585830009021</v>
      </c>
      <c r="G161" s="5">
        <f t="shared" si="13"/>
        <v>43.978618932040376</v>
      </c>
      <c r="M161" s="2"/>
      <c r="U161"/>
    </row>
    <row r="162" spans="1:21" x14ac:dyDescent="0.35">
      <c r="A162" s="20" t="str">
        <f t="shared" si="14"/>
        <v>2014 Q4</v>
      </c>
      <c r="B162" s="20">
        <f t="shared" si="8"/>
        <v>42.122999999999998</v>
      </c>
      <c r="C162" s="8">
        <f t="shared" si="8"/>
        <v>51.4955</v>
      </c>
      <c r="D162" s="8">
        <f t="shared" si="8"/>
        <v>0.81799380528395682</v>
      </c>
      <c r="E162" s="5">
        <f t="shared" si="11"/>
        <v>0.9165143104095278</v>
      </c>
      <c r="F162" s="5">
        <f t="shared" si="12"/>
        <v>0.8925052189511925</v>
      </c>
      <c r="G162" s="5">
        <f t="shared" si="13"/>
        <v>45.960002502501133</v>
      </c>
      <c r="M162" s="2"/>
      <c r="U162"/>
    </row>
    <row r="163" spans="1:21" x14ac:dyDescent="0.35">
      <c r="A163" s="20" t="str">
        <f t="shared" si="14"/>
        <v>2015 Q1</v>
      </c>
      <c r="B163" s="20">
        <f t="shared" si="8"/>
        <v>74.599000000000004</v>
      </c>
      <c r="C163" s="8">
        <f t="shared" si="8"/>
        <v>54.562625000000004</v>
      </c>
      <c r="D163" s="8">
        <f t="shared" si="8"/>
        <v>1.367217944517882</v>
      </c>
      <c r="E163" s="5">
        <f t="shared" si="11"/>
        <v>1.2863724151425917</v>
      </c>
      <c r="F163" s="5">
        <f t="shared" si="12"/>
        <v>1.0628476858051474</v>
      </c>
      <c r="G163" s="5">
        <f t="shared" si="13"/>
        <v>57.991759712704088</v>
      </c>
      <c r="M163" s="2"/>
      <c r="U163"/>
    </row>
    <row r="164" spans="1:21" x14ac:dyDescent="0.35">
      <c r="A164" s="20" t="str">
        <f t="shared" si="14"/>
        <v>2015 Q2</v>
      </c>
      <c r="B164" s="20">
        <f t="shared" si="8"/>
        <v>58.01</v>
      </c>
      <c r="C164" s="8">
        <f t="shared" si="8"/>
        <v>57.256499999999996</v>
      </c>
      <c r="D164" s="8">
        <f t="shared" si="8"/>
        <v>1.0131600778950862</v>
      </c>
      <c r="E164" s="5">
        <f t="shared" si="11"/>
        <v>0.94597240397527149</v>
      </c>
      <c r="F164" s="5">
        <f t="shared" si="12"/>
        <v>1.071024983009516</v>
      </c>
      <c r="G164" s="5">
        <f t="shared" si="13"/>
        <v>61.323141939684348</v>
      </c>
      <c r="M164" s="2"/>
      <c r="U164"/>
    </row>
    <row r="165" spans="1:21" x14ac:dyDescent="0.35">
      <c r="A165" s="20" t="str">
        <f t="shared" si="14"/>
        <v>2015 Q3</v>
      </c>
      <c r="B165" s="20">
        <f t="shared" si="8"/>
        <v>49.604999999999997</v>
      </c>
      <c r="C165" s="8">
        <f t="shared" si="8"/>
        <v>58.587874999999997</v>
      </c>
      <c r="D165" s="8">
        <f t="shared" si="8"/>
        <v>0.84667689346985187</v>
      </c>
      <c r="E165" s="5">
        <f t="shared" si="11"/>
        <v>0.85114087047260889</v>
      </c>
      <c r="F165" s="5">
        <f t="shared" si="12"/>
        <v>0.9947553017865558</v>
      </c>
      <c r="G165" s="5">
        <f t="shared" si="13"/>
        <v>58.280599276658009</v>
      </c>
      <c r="M165" s="2"/>
      <c r="U165"/>
    </row>
    <row r="166" spans="1:21" x14ac:dyDescent="0.35">
      <c r="A166" s="20" t="str">
        <f t="shared" si="14"/>
        <v>2015 Q4</v>
      </c>
      <c r="B166" s="20">
        <f t="shared" si="8"/>
        <v>51.500999999999998</v>
      </c>
      <c r="C166" s="8">
        <f t="shared" si="8"/>
        <v>57.815375000000003</v>
      </c>
      <c r="D166" s="8">
        <f t="shared" si="8"/>
        <v>0.89078380967000548</v>
      </c>
      <c r="E166" s="5">
        <f t="shared" si="11"/>
        <v>0.9165143104095278</v>
      </c>
      <c r="F166" s="5">
        <f t="shared" si="12"/>
        <v>0.97192569668876738</v>
      </c>
      <c r="G166" s="5">
        <f t="shared" si="13"/>
        <v>56.192248626197348</v>
      </c>
      <c r="M166" s="2"/>
      <c r="U166"/>
    </row>
    <row r="167" spans="1:21" x14ac:dyDescent="0.35">
      <c r="A167" s="20" t="str">
        <f t="shared" si="14"/>
        <v>2016 Q1</v>
      </c>
      <c r="B167" s="20">
        <f t="shared" si="8"/>
        <v>75.872</v>
      </c>
      <c r="C167" s="8">
        <f t="shared" si="8"/>
        <v>55.977875000000004</v>
      </c>
      <c r="D167" s="8">
        <f t="shared" si="8"/>
        <v>1.3553926439687107</v>
      </c>
      <c r="E167" s="5">
        <f t="shared" si="11"/>
        <v>1.2863724151425917</v>
      </c>
      <c r="F167" s="5">
        <f t="shared" si="12"/>
        <v>1.0536549353932378</v>
      </c>
      <c r="G167" s="5">
        <f t="shared" si="13"/>
        <v>58.981364266575746</v>
      </c>
      <c r="M167" s="2"/>
      <c r="U167"/>
    </row>
    <row r="168" spans="1:21" x14ac:dyDescent="0.35">
      <c r="A168" s="20" t="str">
        <f t="shared" si="14"/>
        <v>2016 Q2</v>
      </c>
      <c r="B168" s="20">
        <f t="shared" si="8"/>
        <v>50.557000000000002</v>
      </c>
      <c r="C168" s="8">
        <f t="shared" si="8"/>
        <v>54.490874999999996</v>
      </c>
      <c r="D168" s="8">
        <f t="shared" si="8"/>
        <v>0.92780671993246588</v>
      </c>
      <c r="E168" s="5">
        <f t="shared" si="11"/>
        <v>0.94597240397527149</v>
      </c>
      <c r="F168" s="5">
        <f t="shared" si="12"/>
        <v>0.98079681398054774</v>
      </c>
      <c r="G168" s="5">
        <f t="shared" si="13"/>
        <v>53.444476591012275</v>
      </c>
      <c r="M168" s="2"/>
      <c r="U168"/>
    </row>
    <row r="169" spans="1:21" x14ac:dyDescent="0.35">
      <c r="A169" s="20" t="str">
        <f t="shared" si="14"/>
        <v>2016 Q3</v>
      </c>
      <c r="B169" s="20">
        <f t="shared" si="8"/>
        <v>42.357999999999997</v>
      </c>
      <c r="C169" s="8">
        <f t="shared" si="8"/>
        <v>54.219625000000001</v>
      </c>
      <c r="D169" s="8">
        <f t="shared" si="8"/>
        <v>0.78123004354972936</v>
      </c>
      <c r="E169" s="5">
        <f t="shared" si="11"/>
        <v>0.85114087047260889</v>
      </c>
      <c r="F169" s="5">
        <f t="shared" si="12"/>
        <v>0.91786221370845411</v>
      </c>
      <c r="G169" s="5">
        <f t="shared" si="13"/>
        <v>49.76614502894224</v>
      </c>
      <c r="M169" s="2"/>
      <c r="U169"/>
    </row>
    <row r="170" spans="1:21" x14ac:dyDescent="0.35">
      <c r="A170" s="20" t="str">
        <f t="shared" si="14"/>
        <v>2016 Q4</v>
      </c>
      <c r="B170" s="20">
        <f t="shared" si="8"/>
        <v>46.851999999999997</v>
      </c>
      <c r="C170" s="8">
        <f t="shared" si="8"/>
        <v>54.821874999999999</v>
      </c>
      <c r="D170" s="8">
        <f t="shared" si="8"/>
        <v>0.85462235649546825</v>
      </c>
      <c r="E170" s="5">
        <f t="shared" si="11"/>
        <v>0.9165143104095278</v>
      </c>
      <c r="F170" s="5">
        <f t="shared" si="12"/>
        <v>0.93247028092075912</v>
      </c>
      <c r="G170" s="5">
        <f t="shared" si="13"/>
        <v>51.119769181852739</v>
      </c>
      <c r="M170" s="2"/>
      <c r="U170"/>
    </row>
    <row r="171" spans="1:21" x14ac:dyDescent="0.35">
      <c r="A171" s="20" t="str">
        <f t="shared" si="14"/>
        <v>2017 Q1</v>
      </c>
      <c r="B171" s="20">
        <f t="shared" si="8"/>
        <v>78.350999999999999</v>
      </c>
      <c r="C171" s="8">
        <f t="shared" si="8"/>
        <v>55.4955</v>
      </c>
      <c r="D171" s="8">
        <f t="shared" si="8"/>
        <v>1.4118442035840744</v>
      </c>
      <c r="E171" s="5">
        <f t="shared" si="11"/>
        <v>1.2863724151425917</v>
      </c>
      <c r="F171" s="5">
        <f t="shared" si="12"/>
        <v>1.0975392405531135</v>
      </c>
      <c r="G171" s="5">
        <f t="shared" si="13"/>
        <v>60.908488924115304</v>
      </c>
      <c r="M171" s="2"/>
      <c r="U171"/>
    </row>
    <row r="172" spans="1:21" x14ac:dyDescent="0.35">
      <c r="A172" s="20" t="str">
        <f t="shared" si="14"/>
        <v>2017 Q2</v>
      </c>
      <c r="B172" s="20">
        <f t="shared" si="8"/>
        <v>52.896000000000001</v>
      </c>
      <c r="C172" s="8">
        <f t="shared" si="8"/>
        <v>56.592625000000005</v>
      </c>
      <c r="D172" s="8">
        <f t="shared" si="8"/>
        <v>0.93468009303332367</v>
      </c>
      <c r="E172" s="5">
        <f t="shared" si="11"/>
        <v>0.94597240397527149</v>
      </c>
      <c r="F172" s="5">
        <f t="shared" si="12"/>
        <v>0.98806274803102712</v>
      </c>
      <c r="G172" s="5">
        <f t="shared" si="13"/>
        <v>55.917064575789411</v>
      </c>
      <c r="M172" s="2"/>
      <c r="U172"/>
    </row>
    <row r="173" spans="1:21" x14ac:dyDescent="0.35">
      <c r="A173" s="20" t="str">
        <f t="shared" si="14"/>
        <v>2017 Q3</v>
      </c>
      <c r="B173" s="20">
        <f t="shared" si="8"/>
        <v>45.408000000000001</v>
      </c>
      <c r="C173" s="8">
        <f t="shared" si="8"/>
        <v>58.551250000000003</v>
      </c>
      <c r="D173" s="8">
        <f t="shared" si="8"/>
        <v>0.77552571465169395</v>
      </c>
      <c r="E173" s="5">
        <f t="shared" si="11"/>
        <v>0.85114087047260889</v>
      </c>
      <c r="F173" s="5">
        <f t="shared" si="12"/>
        <v>0.91116023393527268</v>
      </c>
      <c r="G173" s="5">
        <f t="shared" si="13"/>
        <v>53.34957064720264</v>
      </c>
      <c r="M173" s="2"/>
      <c r="U173"/>
    </row>
    <row r="174" spans="1:21" x14ac:dyDescent="0.35">
      <c r="A174" s="20" t="str">
        <f t="shared" si="14"/>
        <v>2017 Q4</v>
      </c>
      <c r="B174" s="20">
        <f t="shared" si="8"/>
        <v>52.579000000000001</v>
      </c>
      <c r="C174" s="8">
        <f t="shared" si="8"/>
        <v>60.824125000000002</v>
      </c>
      <c r="D174" s="8">
        <f t="shared" si="8"/>
        <v>0.86444317941277415</v>
      </c>
      <c r="E174" s="5">
        <f t="shared" si="11"/>
        <v>0.9165143104095278</v>
      </c>
      <c r="F174" s="5">
        <f t="shared" si="12"/>
        <v>0.94318568689507243</v>
      </c>
      <c r="G174" s="5">
        <f t="shared" si="13"/>
        <v>57.368444117916752</v>
      </c>
      <c r="M174" s="2"/>
      <c r="U174"/>
    </row>
    <row r="175" spans="1:21" x14ac:dyDescent="0.35">
      <c r="A175" s="20" t="str">
        <f t="shared" si="14"/>
        <v>2018 Q1</v>
      </c>
      <c r="B175" s="20">
        <f t="shared" si="8"/>
        <v>88.293000000000006</v>
      </c>
      <c r="C175" s="8">
        <f t="shared" si="8"/>
        <v>62.836375000000004</v>
      </c>
      <c r="D175" s="8">
        <f t="shared" si="8"/>
        <v>1.405125613945744</v>
      </c>
      <c r="E175" s="5">
        <f t="shared" si="11"/>
        <v>1.2863724151425917</v>
      </c>
      <c r="F175" s="5">
        <f t="shared" si="12"/>
        <v>1.0923163443224089</v>
      </c>
      <c r="G175" s="5">
        <f t="shared" si="13"/>
        <v>68.637199430472009</v>
      </c>
      <c r="M175" s="2"/>
      <c r="U175"/>
    </row>
    <row r="176" spans="1:21" x14ac:dyDescent="0.35">
      <c r="A176" s="20" t="str">
        <f t="shared" si="14"/>
        <v>2018 Q2</v>
      </c>
      <c r="B176" s="20">
        <f t="shared" si="8"/>
        <v>61.137</v>
      </c>
      <c r="C176" s="8">
        <f t="shared" si="8"/>
        <v>65.108625000000004</v>
      </c>
      <c r="D176" s="8">
        <f t="shared" si="8"/>
        <v>0.93900001727881666</v>
      </c>
      <c r="E176" s="5">
        <f t="shared" si="11"/>
        <v>0.94597240397527149</v>
      </c>
      <c r="F176" s="5">
        <f t="shared" si="12"/>
        <v>0.99262939736174682</v>
      </c>
      <c r="G176" s="5">
        <f t="shared" si="13"/>
        <v>64.628735196801969</v>
      </c>
      <c r="M176" s="2"/>
      <c r="U176"/>
    </row>
    <row r="177" spans="1:21" x14ac:dyDescent="0.35">
      <c r="A177" s="20" t="str">
        <f t="shared" si="14"/>
        <v>2018 Q3</v>
      </c>
      <c r="B177" s="20">
        <f t="shared" si="8"/>
        <v>53.265000000000001</v>
      </c>
      <c r="C177" s="8">
        <f t="shared" si="8"/>
        <v>65.900874999999999</v>
      </c>
      <c r="D177" s="8">
        <f t="shared" si="8"/>
        <v>0.80825937440132622</v>
      </c>
      <c r="E177" s="5">
        <f t="shared" si="11"/>
        <v>0.85114087047260889</v>
      </c>
      <c r="F177" s="5">
        <f t="shared" si="12"/>
        <v>0.94961880276355182</v>
      </c>
      <c r="G177" s="5">
        <f t="shared" si="13"/>
        <v>62.580710018570485</v>
      </c>
      <c r="M177" s="2"/>
      <c r="U177"/>
    </row>
    <row r="178" spans="1:21" x14ac:dyDescent="0.35">
      <c r="A178" s="20" t="str">
        <f t="shared" si="14"/>
        <v>2018 Q4</v>
      </c>
      <c r="B178" s="20">
        <f t="shared" si="8"/>
        <v>62.9</v>
      </c>
      <c r="C178" s="8">
        <f t="shared" si="8"/>
        <v>65.012749999999997</v>
      </c>
      <c r="D178" s="8">
        <f t="shared" si="8"/>
        <v>0.96750252835020822</v>
      </c>
      <c r="E178" s="5">
        <f t="shared" si="11"/>
        <v>0.9165143104095278</v>
      </c>
      <c r="F178" s="5">
        <f t="shared" si="12"/>
        <v>1.0556327570247073</v>
      </c>
      <c r="G178" s="5">
        <f t="shared" si="13"/>
        <v>68.62958852425804</v>
      </c>
      <c r="M178" s="2"/>
      <c r="U178"/>
    </row>
    <row r="179" spans="1:21" x14ac:dyDescent="0.35">
      <c r="A179" s="20" t="str">
        <f t="shared" si="14"/>
        <v>2019 Q1</v>
      </c>
      <c r="B179" s="20">
        <f t="shared" si="8"/>
        <v>84.31</v>
      </c>
      <c r="C179" s="8">
        <f t="shared" si="8"/>
        <v>64.6905</v>
      </c>
      <c r="D179" s="8">
        <f t="shared" si="8"/>
        <v>1.3032825530796639</v>
      </c>
      <c r="E179" s="5">
        <f t="shared" si="11"/>
        <v>1.2863724151425917</v>
      </c>
      <c r="F179" s="5">
        <f t="shared" si="12"/>
        <v>1.0131456005570501</v>
      </c>
      <c r="G179" s="5">
        <f t="shared" si="13"/>
        <v>65.540895472835842</v>
      </c>
      <c r="M179" s="2"/>
      <c r="U179"/>
    </row>
    <row r="180" spans="1:21" x14ac:dyDescent="0.35">
      <c r="A180" s="20" t="str">
        <f t="shared" si="14"/>
        <v>2019 Q2</v>
      </c>
      <c r="B180" s="20">
        <f t="shared" si="8"/>
        <v>58.015000000000001</v>
      </c>
      <c r="C180" s="8">
        <f t="shared" si="8"/>
        <v>64.900999999999996</v>
      </c>
      <c r="D180" s="8">
        <f t="shared" si="8"/>
        <v>0.89389993990847605</v>
      </c>
      <c r="E180" s="5">
        <f t="shared" si="11"/>
        <v>0.94597240397527149</v>
      </c>
      <c r="F180" s="5">
        <f t="shared" si="12"/>
        <v>0.94495350620380603</v>
      </c>
      <c r="G180" s="5">
        <f t="shared" si="13"/>
        <v>61.328427506133217</v>
      </c>
      <c r="M180" s="2"/>
      <c r="U180"/>
    </row>
    <row r="181" spans="1:21" x14ac:dyDescent="0.35">
      <c r="A181" s="20" t="str">
        <f t="shared" si="14"/>
        <v>2019 Q3</v>
      </c>
      <c r="B181" s="20">
        <f t="shared" si="8"/>
        <v>53.808999999999997</v>
      </c>
      <c r="C181" s="8">
        <f t="shared" si="8"/>
        <v>65.982124999999996</v>
      </c>
      <c r="D181" s="8">
        <f t="shared" si="8"/>
        <v>0.81550874573984999</v>
      </c>
      <c r="E181" s="5">
        <f t="shared" si="11"/>
        <v>0.85114087047260889</v>
      </c>
      <c r="F181" s="5">
        <f t="shared" si="12"/>
        <v>0.95813604308183009</v>
      </c>
      <c r="G181" s="5">
        <f t="shared" si="13"/>
        <v>63.219852161630698</v>
      </c>
      <c r="M181" s="2"/>
      <c r="U181"/>
    </row>
    <row r="182" spans="1:21" x14ac:dyDescent="0.35">
      <c r="A182" s="20" t="str">
        <f t="shared" si="14"/>
        <v>2019 Q4</v>
      </c>
      <c r="B182" s="20">
        <f t="shared" si="8"/>
        <v>64.040000000000006</v>
      </c>
      <c r="C182" s="8">
        <f t="shared" si="8"/>
        <v>66.957999999999998</v>
      </c>
      <c r="D182" s="8">
        <f t="shared" si="8"/>
        <v>0.95642044266555171</v>
      </c>
      <c r="E182" s="5">
        <f t="shared" si="11"/>
        <v>0.9165143104095278</v>
      </c>
      <c r="F182" s="5">
        <f t="shared" si="12"/>
        <v>1.0435411993056525</v>
      </c>
      <c r="G182" s="5">
        <f t="shared" si="13"/>
        <v>69.873431623107876</v>
      </c>
      <c r="M182" s="2"/>
      <c r="U182"/>
    </row>
    <row r="183" spans="1:21" x14ac:dyDescent="0.35">
      <c r="A183" s="20" t="str">
        <f t="shared" si="14"/>
        <v>2020 Q1</v>
      </c>
      <c r="B183" s="20">
        <f t="shared" si="8"/>
        <v>91.819000000000003</v>
      </c>
      <c r="C183" s="8">
        <f t="shared" si="8"/>
        <v>67.729749999999996</v>
      </c>
      <c r="D183" s="8">
        <f t="shared" si="8"/>
        <v>1.3556671920389491</v>
      </c>
      <c r="E183" s="5">
        <f t="shared" si="11"/>
        <v>1.2863724151425917</v>
      </c>
      <c r="F183" s="5">
        <f t="shared" si="12"/>
        <v>1.0538683635319375</v>
      </c>
      <c r="G183" s="5">
        <f t="shared" si="13"/>
        <v>71.378240794927223</v>
      </c>
      <c r="M183" s="2"/>
      <c r="U183"/>
    </row>
    <row r="184" spans="1:21" x14ac:dyDescent="0.35">
      <c r="A184" s="20" t="str">
        <f t="shared" si="14"/>
        <v>2020 Q2</v>
      </c>
      <c r="B184" s="20">
        <f t="shared" si="8"/>
        <v>58.313000000000002</v>
      </c>
      <c r="C184" s="8">
        <f t="shared" si="8"/>
        <v>68.546500000000009</v>
      </c>
      <c r="D184" s="8">
        <f t="shared" si="8"/>
        <v>0.85070718417424662</v>
      </c>
      <c r="E184" s="5">
        <f t="shared" si="11"/>
        <v>0.94597240397527149</v>
      </c>
      <c r="F184" s="5">
        <f t="shared" si="12"/>
        <v>0.89929387009526851</v>
      </c>
      <c r="G184" s="5">
        <f t="shared" si="13"/>
        <v>61.643447266485325</v>
      </c>
      <c r="M184" s="2"/>
      <c r="U184"/>
    </row>
    <row r="185" spans="1:21" x14ac:dyDescent="0.35">
      <c r="A185" s="20" t="str">
        <f t="shared" si="14"/>
        <v>2020 Q3</v>
      </c>
      <c r="B185" s="20">
        <f t="shared" si="8"/>
        <v>59.685000000000002</v>
      </c>
      <c r="C185" s="8">
        <f t="shared" si="8"/>
        <v>71.081249999999997</v>
      </c>
      <c r="D185" s="8">
        <f t="shared" si="8"/>
        <v>0.83967290952255347</v>
      </c>
      <c r="E185" s="5">
        <f t="shared" si="11"/>
        <v>0.85114087047260889</v>
      </c>
      <c r="F185" s="5">
        <f t="shared" si="12"/>
        <v>0.98652636555487261</v>
      </c>
      <c r="G185" s="5">
        <f t="shared" si="13"/>
        <v>70.123527221597286</v>
      </c>
      <c r="M185" s="2"/>
      <c r="U185"/>
    </row>
    <row r="186" spans="1:21" x14ac:dyDescent="0.35">
      <c r="A186" s="20" t="str">
        <f t="shared" si="14"/>
        <v>2020 Q4</v>
      </c>
      <c r="B186" s="20">
        <f t="shared" si="8"/>
        <v>64.697999999999993</v>
      </c>
      <c r="C186" s="8">
        <f t="shared" si="8"/>
        <v>77.442624999999992</v>
      </c>
      <c r="D186" s="8">
        <f t="shared" si="8"/>
        <v>0.83543139194984672</v>
      </c>
      <c r="E186" s="5">
        <f t="shared" si="11"/>
        <v>0.9165143104095278</v>
      </c>
      <c r="F186" s="5">
        <f t="shared" si="12"/>
        <v>0.91153120301694945</v>
      </c>
      <c r="G186" s="5">
        <f t="shared" si="13"/>
        <v>70.59136913104048</v>
      </c>
      <c r="M186" s="2"/>
      <c r="U186"/>
    </row>
    <row r="187" spans="1:21" x14ac:dyDescent="0.35">
      <c r="A187" s="20" t="str">
        <f t="shared" ref="A187:A209" si="15">A67</f>
        <v>2021 Q1</v>
      </c>
      <c r="B187" s="20">
        <f t="shared" si="8"/>
        <v>111.43899999999999</v>
      </c>
      <c r="C187" s="8">
        <f t="shared" si="8"/>
        <v>84.07012499999999</v>
      </c>
      <c r="D187" s="8">
        <f t="shared" si="8"/>
        <v>1.3255481658912724</v>
      </c>
      <c r="E187" s="5">
        <f t="shared" si="11"/>
        <v>1.2863724151425917</v>
      </c>
      <c r="F187" s="5">
        <f t="shared" si="12"/>
        <v>1.0304544393890305</v>
      </c>
      <c r="G187" s="5">
        <f t="shared" si="13"/>
        <v>86.630433526240694</v>
      </c>
      <c r="M187" s="2"/>
      <c r="U187"/>
    </row>
    <row r="188" spans="1:21" x14ac:dyDescent="0.35">
      <c r="A188" s="20" t="str">
        <f t="shared" si="15"/>
        <v>2021 Q2</v>
      </c>
      <c r="B188" s="20">
        <f t="shared" ref="B188:D209" si="16">IF(LEN(B68)&gt;0,B68,"")</f>
        <v>89.584000000000003</v>
      </c>
      <c r="C188" s="8">
        <f t="shared" si="16"/>
        <v>89.121499999999997</v>
      </c>
      <c r="D188" s="8">
        <f t="shared" si="16"/>
        <v>1.0051895446104475</v>
      </c>
      <c r="E188" s="5">
        <f t="shared" si="11"/>
        <v>0.94597240397527149</v>
      </c>
      <c r="F188" s="5">
        <f t="shared" si="12"/>
        <v>1.0625992263477531</v>
      </c>
      <c r="G188" s="5">
        <f t="shared" si="13"/>
        <v>94.700436950951271</v>
      </c>
      <c r="M188" s="2"/>
      <c r="U188"/>
    </row>
    <row r="189" spans="1:21" x14ac:dyDescent="0.35">
      <c r="A189" s="20" t="str">
        <f t="shared" si="15"/>
        <v>2021 Q3</v>
      </c>
      <c r="B189" s="20">
        <f t="shared" si="16"/>
        <v>81.433999999999997</v>
      </c>
      <c r="C189" s="8">
        <f t="shared" si="16"/>
        <v>93.017499999999984</v>
      </c>
      <c r="D189" s="8">
        <f t="shared" si="16"/>
        <v>0.87546966968581197</v>
      </c>
      <c r="E189" s="5">
        <f t="shared" si="11"/>
        <v>0.85114087047260889</v>
      </c>
      <c r="F189" s="5">
        <f t="shared" si="12"/>
        <v>1.028583751594133</v>
      </c>
      <c r="G189" s="5">
        <f t="shared" si="13"/>
        <v>95.676289113907231</v>
      </c>
      <c r="M189" s="2"/>
      <c r="U189"/>
    </row>
    <row r="190" spans="1:21" x14ac:dyDescent="0.35">
      <c r="A190" s="20" t="str">
        <f t="shared" si="15"/>
        <v>2021 Q4</v>
      </c>
      <c r="B190" s="20">
        <f t="shared" si="16"/>
        <v>83.36</v>
      </c>
      <c r="C190" s="8">
        <f t="shared" si="16"/>
        <v>95.54249999999999</v>
      </c>
      <c r="D190" s="8">
        <f t="shared" si="16"/>
        <v>0.87249129968338701</v>
      </c>
      <c r="E190" s="5">
        <f t="shared" si="11"/>
        <v>0.9165143104095278</v>
      </c>
      <c r="F190" s="5">
        <f t="shared" si="12"/>
        <v>0.95196691396289279</v>
      </c>
      <c r="G190" s="5">
        <f t="shared" si="13"/>
        <v>90.953298877299687</v>
      </c>
      <c r="M190" s="2"/>
      <c r="U190"/>
    </row>
    <row r="191" spans="1:21" x14ac:dyDescent="0.35">
      <c r="A191" s="20" t="str">
        <f t="shared" si="15"/>
        <v>2022 Q1</v>
      </c>
      <c r="B191" s="20">
        <f t="shared" si="16"/>
        <v>123.94499999999999</v>
      </c>
      <c r="C191" s="8">
        <f t="shared" si="16"/>
        <v>96.694874999999996</v>
      </c>
      <c r="D191" s="8">
        <f t="shared" si="16"/>
        <v>1.2818156081178036</v>
      </c>
      <c r="E191" s="5">
        <f t="shared" si="11"/>
        <v>1.2863724151425917</v>
      </c>
      <c r="F191" s="5">
        <f t="shared" si="12"/>
        <v>0.9964576300213317</v>
      </c>
      <c r="G191" s="5">
        <f t="shared" si="13"/>
        <v>96.352345977708907</v>
      </c>
      <c r="M191" s="2"/>
      <c r="U191"/>
    </row>
    <row r="192" spans="1:21" x14ac:dyDescent="0.35">
      <c r="A192" s="20" t="str">
        <f t="shared" si="15"/>
        <v>2022 Q2</v>
      </c>
      <c r="B192" s="20">
        <f t="shared" si="16"/>
        <v>97.278000000000006</v>
      </c>
      <c r="C192" s="8">
        <f t="shared" si="16"/>
        <v>97.733750000000001</v>
      </c>
      <c r="D192" s="8">
        <f t="shared" si="16"/>
        <v>0.99533682069909324</v>
      </c>
      <c r="E192" s="5">
        <f t="shared" ref="E192:E209" si="17">E188</f>
        <v>0.94597240397527149</v>
      </c>
      <c r="F192" s="5">
        <f t="shared" ref="F192:F207" si="18">B192/C192/E192</f>
        <v>1.0521837809606043</v>
      </c>
      <c r="G192" s="5">
        <f t="shared" ref="G192:G209" si="19">B192/E192</f>
        <v>102.83386660245846</v>
      </c>
      <c r="M192" s="2"/>
      <c r="U192"/>
    </row>
    <row r="193" spans="1:21" x14ac:dyDescent="0.35">
      <c r="A193" s="20" t="str">
        <f t="shared" si="15"/>
        <v>2022 Q3</v>
      </c>
      <c r="B193" s="20">
        <f t="shared" si="16"/>
        <v>82.959000000000003</v>
      </c>
      <c r="C193" s="8">
        <f t="shared" si="16"/>
        <v>97.733125000000001</v>
      </c>
      <c r="D193" s="8">
        <f t="shared" si="16"/>
        <v>0.84883195948149615</v>
      </c>
      <c r="E193" s="5">
        <f t="shared" si="17"/>
        <v>0.85114087047260889</v>
      </c>
      <c r="F193" s="5">
        <f t="shared" si="18"/>
        <v>0.99728727514890614</v>
      </c>
      <c r="G193" s="5">
        <f t="shared" si="19"/>
        <v>97.468001923037434</v>
      </c>
      <c r="M193" s="2"/>
      <c r="U193"/>
    </row>
    <row r="194" spans="1:21" x14ac:dyDescent="0.35">
      <c r="A194" s="20" t="str">
        <f t="shared" si="15"/>
        <v>2022 Q4</v>
      </c>
      <c r="B194" s="20">
        <f t="shared" si="16"/>
        <v>90.146000000000001</v>
      </c>
      <c r="C194" s="8">
        <f t="shared" si="16"/>
        <v>96.579000000000008</v>
      </c>
      <c r="D194" s="8">
        <f t="shared" si="16"/>
        <v>0.93339131695296074</v>
      </c>
      <c r="E194" s="5">
        <f t="shared" si="17"/>
        <v>0.9165143104095278</v>
      </c>
      <c r="F194" s="5">
        <f t="shared" si="18"/>
        <v>1.0184143404546424</v>
      </c>
      <c r="G194" s="5">
        <f t="shared" si="19"/>
        <v>98.357438586768922</v>
      </c>
      <c r="M194" s="2"/>
      <c r="U194"/>
    </row>
    <row r="195" spans="1:21" x14ac:dyDescent="0.35">
      <c r="A195" s="20" t="str">
        <f t="shared" si="15"/>
        <v>2023 Q1</v>
      </c>
      <c r="B195" s="20">
        <f t="shared" si="16"/>
        <v>117.154</v>
      </c>
      <c r="C195" s="8">
        <f t="shared" si="16"/>
        <v>96.128500000000003</v>
      </c>
      <c r="D195" s="8">
        <f t="shared" si="16"/>
        <v>1.2187228553446687</v>
      </c>
      <c r="E195" s="5">
        <f t="shared" si="17"/>
        <v>1.2863724151425917</v>
      </c>
      <c r="F195" s="5">
        <f t="shared" si="18"/>
        <v>0.94741059509549252</v>
      </c>
      <c r="G195" s="5">
        <f t="shared" si="19"/>
        <v>91.073159390637059</v>
      </c>
      <c r="M195" s="2"/>
      <c r="U195"/>
    </row>
    <row r="196" spans="1:21" x14ac:dyDescent="0.35">
      <c r="A196" s="20" t="str">
        <f t="shared" si="15"/>
        <v>2023 Q2</v>
      </c>
      <c r="B196" s="20">
        <f t="shared" si="16"/>
        <v>94.835999999999999</v>
      </c>
      <c r="C196" s="8">
        <f t="shared" si="16"/>
        <v>95.902250000000009</v>
      </c>
      <c r="D196" s="8">
        <f t="shared" si="16"/>
        <v>0.98888190840152335</v>
      </c>
      <c r="E196" s="5">
        <f t="shared" si="17"/>
        <v>0.94597240397527149</v>
      </c>
      <c r="F196" s="5">
        <f t="shared" si="18"/>
        <v>1.0453602073865291</v>
      </c>
      <c r="G196" s="5">
        <f t="shared" si="19"/>
        <v>100.25239594883477</v>
      </c>
      <c r="M196" s="2"/>
      <c r="U196"/>
    </row>
    <row r="197" spans="1:21" x14ac:dyDescent="0.35">
      <c r="A197" s="20" t="str">
        <f t="shared" si="15"/>
        <v>2023 Q3</v>
      </c>
      <c r="B197" s="20">
        <f t="shared" si="16"/>
        <v>81.796999999999997</v>
      </c>
      <c r="C197" s="8">
        <f t="shared" si="16"/>
        <v>96.123874999999998</v>
      </c>
      <c r="D197" s="8">
        <f t="shared" si="16"/>
        <v>0.85095404237500827</v>
      </c>
      <c r="E197" s="5">
        <f t="shared" si="17"/>
        <v>0.85114087047260889</v>
      </c>
      <c r="F197" s="5">
        <f t="shared" si="18"/>
        <v>0.99978049685535975</v>
      </c>
      <c r="G197" s="5">
        <f t="shared" si="19"/>
        <v>96.102775507162491</v>
      </c>
      <c r="M197" s="2"/>
      <c r="U197"/>
    </row>
    <row r="198" spans="1:21" x14ac:dyDescent="0.35">
      <c r="A198" s="20" t="str">
        <f t="shared" si="15"/>
        <v>2023 Q4</v>
      </c>
      <c r="B198" s="20">
        <f t="shared" si="16"/>
        <v>89.498000000000005</v>
      </c>
      <c r="C198" s="8">
        <f t="shared" si="16"/>
        <v>95.916125000000008</v>
      </c>
      <c r="D198" s="8">
        <f t="shared" si="16"/>
        <v>0.93308606868761634</v>
      </c>
      <c r="E198" s="5">
        <f t="shared" si="17"/>
        <v>0.9165143104095278</v>
      </c>
      <c r="F198" s="5">
        <f t="shared" si="18"/>
        <v>1.018081286991235</v>
      </c>
      <c r="G198" s="5">
        <f t="shared" si="19"/>
        <v>97.65041198321218</v>
      </c>
      <c r="M198" s="2"/>
      <c r="U198"/>
    </row>
    <row r="199" spans="1:21" x14ac:dyDescent="0.35">
      <c r="A199" s="20" t="str">
        <f t="shared" si="15"/>
        <v>2024 Q1</v>
      </c>
      <c r="B199" s="20">
        <f t="shared" si="16"/>
        <v>119.575</v>
      </c>
      <c r="C199" s="8">
        <f t="shared" si="16"/>
        <v>95.903250000000014</v>
      </c>
      <c r="D199" s="8">
        <f t="shared" si="16"/>
        <v>1.2468294870090428</v>
      </c>
      <c r="E199" s="5">
        <f t="shared" si="17"/>
        <v>1.2863724151425917</v>
      </c>
      <c r="F199" s="5">
        <f t="shared" si="18"/>
        <v>0.96926012430920672</v>
      </c>
      <c r="G199" s="5">
        <f t="shared" si="19"/>
        <v>92.955196016656942</v>
      </c>
      <c r="M199" s="2"/>
      <c r="U199"/>
    </row>
    <row r="200" spans="1:21" x14ac:dyDescent="0.35">
      <c r="A200" s="20" t="str">
        <f t="shared" si="15"/>
        <v>2024 Q2</v>
      </c>
      <c r="B200" s="20">
        <f t="shared" si="16"/>
        <v>90.753</v>
      </c>
      <c r="C200" s="8">
        <f t="shared" si="16"/>
        <v>97.079750000000018</v>
      </c>
      <c r="D200" s="8">
        <f t="shared" si="16"/>
        <v>0.93482935421650737</v>
      </c>
      <c r="E200" s="5">
        <f t="shared" si="17"/>
        <v>0.94597240397527149</v>
      </c>
      <c r="F200" s="5">
        <f t="shared" si="18"/>
        <v>0.98822053401141774</v>
      </c>
      <c r="G200" s="5">
        <f t="shared" si="19"/>
        <v>95.936202386694944</v>
      </c>
      <c r="M200" s="2"/>
      <c r="U200"/>
    </row>
    <row r="201" spans="1:21" x14ac:dyDescent="0.35">
      <c r="A201" s="20" t="str">
        <f t="shared" si="15"/>
        <v>2024 Q3</v>
      </c>
      <c r="B201" s="20">
        <f t="shared" si="16"/>
        <v>85.777000000000001</v>
      </c>
      <c r="C201" s="8">
        <f t="shared" si="16"/>
        <v>98.349375000000009</v>
      </c>
      <c r="D201" s="8">
        <f t="shared" si="16"/>
        <v>0.87216619322695232</v>
      </c>
      <c r="E201" s="5">
        <f t="shared" si="17"/>
        <v>0.85114087047260889</v>
      </c>
      <c r="F201" s="5">
        <f t="shared" si="18"/>
        <v>1.0247025180951173</v>
      </c>
      <c r="G201" s="5">
        <f t="shared" si="19"/>
        <v>100.77885221558098</v>
      </c>
      <c r="M201" s="2"/>
      <c r="U201"/>
    </row>
    <row r="202" spans="1:21" x14ac:dyDescent="0.35">
      <c r="A202" s="20" t="str">
        <f t="shared" si="15"/>
        <v>2024 Q4</v>
      </c>
      <c r="B202" s="20">
        <f t="shared" si="16"/>
        <v>94.93</v>
      </c>
      <c r="C202" s="8">
        <f t="shared" si="16"/>
        <v>99.515750000000011</v>
      </c>
      <c r="D202" s="8">
        <f t="shared" si="16"/>
        <v>0.95391935447404053</v>
      </c>
      <c r="E202" s="5">
        <f t="shared" si="17"/>
        <v>0.9165143104095278</v>
      </c>
      <c r="F202" s="5">
        <f t="shared" si="18"/>
        <v>1.0408122858963316</v>
      </c>
      <c r="G202" s="5">
        <f t="shared" si="19"/>
        <v>103.57721524018785</v>
      </c>
      <c r="M202" s="2"/>
      <c r="U202"/>
    </row>
    <row r="203" spans="1:21" x14ac:dyDescent="0.35">
      <c r="A203" s="20" t="str">
        <f t="shared" si="15"/>
        <v>2025 Q1</v>
      </c>
      <c r="B203" s="20">
        <f t="shared" si="16"/>
        <v>124.3</v>
      </c>
      <c r="C203" s="8">
        <f t="shared" si="16"/>
        <v>101.123875</v>
      </c>
      <c r="D203" s="8">
        <f t="shared" si="16"/>
        <v>1.2291854915567664</v>
      </c>
      <c r="E203" s="5">
        <f t="shared" si="17"/>
        <v>1.2863724151425917</v>
      </c>
      <c r="F203" s="5">
        <f t="shared" si="18"/>
        <v>0.9555440377042862</v>
      </c>
      <c r="G203" s="5">
        <f t="shared" si="19"/>
        <v>96.628315825803526</v>
      </c>
      <c r="M203" s="2"/>
      <c r="U203"/>
    </row>
    <row r="204" spans="1:21" x14ac:dyDescent="0.35">
      <c r="A204" s="20" t="str">
        <f t="shared" si="15"/>
        <v>2025 Q2</v>
      </c>
      <c r="B204" s="20">
        <f t="shared" si="16"/>
        <v>95.358999999999995</v>
      </c>
      <c r="C204" s="8">
        <f t="shared" si="16"/>
        <v>103.09824999999999</v>
      </c>
      <c r="D204" s="8">
        <f t="shared" si="16"/>
        <v>0.92493325541413163</v>
      </c>
      <c r="E204" s="5">
        <f t="shared" si="17"/>
        <v>0.94597240397527149</v>
      </c>
      <c r="F204" s="5">
        <f t="shared" si="18"/>
        <v>0.97775923645052776</v>
      </c>
      <c r="G204" s="5">
        <f t="shared" si="19"/>
        <v>100.80526619938561</v>
      </c>
      <c r="M204" s="2"/>
      <c r="U204"/>
    </row>
    <row r="205" spans="1:21" x14ac:dyDescent="0.35">
      <c r="A205" s="20" t="str">
        <f t="shared" si="15"/>
        <v>2025 Q3</v>
      </c>
      <c r="B205" s="20">
        <f t="shared" si="16"/>
        <v>94.036000000000001</v>
      </c>
      <c r="C205" s="8">
        <f t="shared" si="16"/>
        <v>106.47224999999999</v>
      </c>
      <c r="D205" s="8">
        <f t="shared" si="16"/>
        <v>0.88319726501506268</v>
      </c>
      <c r="E205" s="5">
        <f t="shared" si="17"/>
        <v>0.85114087047260889</v>
      </c>
      <c r="F205" s="5">
        <f t="shared" si="18"/>
        <v>1.0376628542401611</v>
      </c>
      <c r="G205" s="5">
        <f t="shared" si="19"/>
        <v>110.482298832372</v>
      </c>
      <c r="M205" s="2"/>
      <c r="U205"/>
    </row>
    <row r="206" spans="1:21" x14ac:dyDescent="0.35">
      <c r="A206" s="20" t="str">
        <f t="shared" si="15"/>
        <v>2025 Q4</v>
      </c>
      <c r="B206" s="20">
        <f t="shared" si="16"/>
        <v>102.46599999999999</v>
      </c>
      <c r="C206" s="8">
        <f t="shared" si="16"/>
        <v>110.88237500000001</v>
      </c>
      <c r="D206" s="8">
        <f t="shared" si="16"/>
        <v>0.92409636788533778</v>
      </c>
      <c r="E206" s="5">
        <f t="shared" si="17"/>
        <v>0.9165143104095278</v>
      </c>
      <c r="F206" s="5">
        <f t="shared" si="18"/>
        <v>1.0082727104090956</v>
      </c>
      <c r="G206" s="5">
        <f t="shared" si="19"/>
        <v>111.79967277784776</v>
      </c>
      <c r="M206" s="2"/>
      <c r="U206"/>
    </row>
    <row r="207" spans="1:21" x14ac:dyDescent="0.35">
      <c r="A207" s="20" t="str">
        <f t="shared" si="15"/>
        <v>2026 Q1</v>
      </c>
      <c r="B207" s="20">
        <f t="shared" si="16"/>
        <v>143.756</v>
      </c>
      <c r="C207" s="8">
        <f t="shared" si="16"/>
        <v>114.783125</v>
      </c>
      <c r="D207" s="8">
        <f t="shared" si="16"/>
        <v>1.2524140634784078</v>
      </c>
      <c r="E207" s="5">
        <f t="shared" si="17"/>
        <v>1.2863724151425917</v>
      </c>
      <c r="F207" s="5">
        <f t="shared" si="18"/>
        <v>0.97360146154842742</v>
      </c>
      <c r="G207" s="5">
        <f t="shared" si="19"/>
        <v>111.75301826109583</v>
      </c>
      <c r="M207" s="2"/>
      <c r="U207"/>
    </row>
    <row r="208" spans="1:21" x14ac:dyDescent="0.35">
      <c r="A208" s="20" t="str">
        <f t="shared" si="15"/>
        <v>2026 Q2</v>
      </c>
      <c r="B208" s="20">
        <f t="shared" si="16"/>
        <v>111.184</v>
      </c>
      <c r="C208" s="8" t="str">
        <f t="shared" si="16"/>
        <v>NA</v>
      </c>
      <c r="D208" s="8" t="str">
        <f t="shared" si="16"/>
        <v>NA</v>
      </c>
      <c r="E208" s="5">
        <f t="shared" si="17"/>
        <v>0.94597240397527149</v>
      </c>
      <c r="F208" s="5" t="s">
        <v>2</v>
      </c>
      <c r="G208" s="5">
        <f t="shared" si="19"/>
        <v>117.53408401003043</v>
      </c>
      <c r="M208" s="2"/>
      <c r="U208"/>
    </row>
    <row r="209" spans="1:21" x14ac:dyDescent="0.35">
      <c r="A209" s="20" t="str">
        <f t="shared" si="15"/>
        <v>2026 Q3</v>
      </c>
      <c r="B209" s="20">
        <f t="shared" si="16"/>
        <v>109.417</v>
      </c>
      <c r="C209" s="8" t="str">
        <f t="shared" si="16"/>
        <v>NA</v>
      </c>
      <c r="D209" s="8" t="str">
        <f t="shared" si="16"/>
        <v>NA</v>
      </c>
      <c r="E209" s="5">
        <f t="shared" si="17"/>
        <v>0.85114087047260889</v>
      </c>
      <c r="F209" s="5" t="s">
        <v>2</v>
      </c>
      <c r="G209" s="5">
        <f t="shared" si="19"/>
        <v>128.55333799121237</v>
      </c>
      <c r="M209" s="2"/>
      <c r="U209"/>
    </row>
    <row r="210" spans="1:21" x14ac:dyDescent="0.35">
      <c r="M210" s="2"/>
      <c r="U210"/>
    </row>
    <row r="211" spans="1:21" x14ac:dyDescent="0.35">
      <c r="M211" s="2"/>
      <c r="U211"/>
    </row>
    <row r="212" spans="1:21" x14ac:dyDescent="0.35">
      <c r="M212" s="2"/>
      <c r="U212"/>
    </row>
  </sheetData>
  <mergeCells count="3">
    <mergeCell ref="A1:D1"/>
    <mergeCell ref="A121:G121"/>
    <mergeCell ref="A92:E9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2026-09-26T04:37:06Z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2025-09-29T23:21:28Z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9772032c-43c1-431d-abb3-106da73a90ff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