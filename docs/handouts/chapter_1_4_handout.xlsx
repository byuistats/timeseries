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13_ncr:1_{0925D525-C348-4DBE-BB3F-D1A4D17F564A}" xr6:coauthVersionLast="47" xr6:coauthVersionMax="47" xr10:uidLastSave="{00000000-0000-0000-0000-000000000000}"/>
  <bookViews>
    <workbookView xWindow="-5820" yWindow="-13110" windowWidth="19200" windowHeight="11175" xr2:uid="{CB73943A-C465-40BE-817C-B9991112161C}"/>
  </bookViews>
  <sheets>
    <sheet name="Workboo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0" i="2" l="1"/>
  <c r="C80" i="2"/>
  <c r="D80" i="2"/>
  <c r="B81" i="2"/>
  <c r="C81" i="2"/>
  <c r="D81" i="2"/>
  <c r="B82" i="2"/>
  <c r="C82" i="2"/>
  <c r="D82" i="2"/>
  <c r="B83" i="2"/>
  <c r="C83" i="2"/>
  <c r="D83" i="2"/>
  <c r="B84" i="2"/>
  <c r="C84" i="2"/>
  <c r="D84" i="2"/>
  <c r="B85" i="2"/>
  <c r="C85" i="2"/>
  <c r="D85" i="2"/>
  <c r="B86" i="2"/>
  <c r="C86" i="2"/>
  <c r="D86" i="2"/>
  <c r="B87" i="2"/>
  <c r="C87" i="2"/>
  <c r="D87" i="2"/>
  <c r="B88" i="2"/>
  <c r="C88" i="2"/>
  <c r="D88" i="2"/>
  <c r="B89" i="2"/>
  <c r="C89" i="2"/>
  <c r="D89" i="2"/>
  <c r="B90" i="2"/>
  <c r="C90" i="2"/>
  <c r="D90" i="2"/>
  <c r="B91" i="2"/>
  <c r="C91" i="2"/>
  <c r="D91" i="2"/>
  <c r="B92" i="2"/>
  <c r="C92" i="2"/>
  <c r="D92" i="2"/>
  <c r="B93" i="2"/>
  <c r="C93" i="2"/>
  <c r="D93" i="2"/>
  <c r="B94" i="2"/>
  <c r="C94" i="2"/>
  <c r="D94" i="2"/>
  <c r="B95" i="2"/>
  <c r="C95" i="2"/>
  <c r="D95" i="2"/>
  <c r="B96" i="2"/>
  <c r="C96" i="2"/>
  <c r="D96" i="2"/>
  <c r="B97" i="2"/>
  <c r="C97" i="2"/>
  <c r="D97" i="2"/>
  <c r="B98" i="2"/>
  <c r="C98" i="2"/>
  <c r="D98" i="2"/>
  <c r="B99" i="2"/>
  <c r="C99" i="2"/>
  <c r="D99" i="2"/>
  <c r="B100" i="2"/>
  <c r="C100" i="2"/>
  <c r="D100" i="2"/>
  <c r="B101" i="2"/>
  <c r="C101" i="2"/>
  <c r="D101" i="2"/>
  <c r="B102" i="2"/>
  <c r="C102" i="2"/>
  <c r="D102" i="2"/>
  <c r="B103" i="2"/>
  <c r="C103" i="2"/>
  <c r="D103" i="2"/>
  <c r="B104" i="2"/>
  <c r="C104" i="2"/>
  <c r="D104" i="2"/>
  <c r="B105" i="2"/>
  <c r="C105" i="2"/>
  <c r="D105" i="2"/>
  <c r="B106" i="2"/>
  <c r="C106" i="2"/>
  <c r="D106" i="2"/>
  <c r="B107" i="2"/>
  <c r="C107" i="2"/>
  <c r="D107" i="2"/>
  <c r="B108" i="2"/>
  <c r="C108" i="2"/>
  <c r="D108" i="2"/>
  <c r="B109" i="2"/>
  <c r="C109" i="2"/>
  <c r="D109" i="2"/>
  <c r="B110" i="2"/>
  <c r="C110" i="2"/>
  <c r="D110" i="2"/>
  <c r="B111" i="2"/>
  <c r="C111" i="2"/>
  <c r="D111" i="2"/>
  <c r="B112" i="2"/>
  <c r="C112" i="2"/>
  <c r="D112" i="2"/>
  <c r="B113" i="2"/>
  <c r="C113" i="2"/>
  <c r="D113" i="2"/>
  <c r="B114" i="2"/>
  <c r="C114" i="2"/>
  <c r="D114" i="2"/>
  <c r="B115" i="2"/>
  <c r="C115" i="2"/>
  <c r="D115" i="2"/>
  <c r="B116" i="2"/>
  <c r="C116" i="2"/>
  <c r="D116" i="2"/>
  <c r="B117" i="2"/>
  <c r="C117" i="2"/>
  <c r="D117" i="2"/>
  <c r="B118" i="2"/>
  <c r="C118" i="2"/>
  <c r="D118" i="2"/>
  <c r="B119" i="2"/>
  <c r="C119" i="2"/>
  <c r="D119" i="2"/>
  <c r="B120" i="2"/>
  <c r="C120" i="2"/>
  <c r="D120" i="2"/>
  <c r="B121" i="2"/>
  <c r="C121" i="2"/>
  <c r="D121" i="2"/>
  <c r="B122" i="2"/>
  <c r="C122" i="2"/>
  <c r="D122" i="2"/>
  <c r="B123" i="2"/>
  <c r="C123" i="2"/>
  <c r="D123" i="2"/>
  <c r="B124" i="2"/>
  <c r="C124" i="2"/>
  <c r="D124" i="2"/>
  <c r="B125" i="2"/>
  <c r="C125" i="2"/>
  <c r="D125" i="2"/>
  <c r="B126" i="2"/>
  <c r="C126" i="2"/>
  <c r="D126" i="2"/>
  <c r="B127" i="2"/>
  <c r="C127" i="2"/>
  <c r="D127" i="2"/>
  <c r="B128" i="2"/>
  <c r="C128" i="2"/>
  <c r="D128" i="2"/>
  <c r="B129" i="2"/>
  <c r="C129" i="2"/>
  <c r="D129" i="2"/>
  <c r="B130" i="2"/>
  <c r="C130" i="2"/>
  <c r="D130" i="2"/>
  <c r="B131" i="2"/>
  <c r="C131" i="2"/>
  <c r="D131" i="2"/>
  <c r="B132" i="2"/>
  <c r="C132" i="2"/>
  <c r="D132" i="2"/>
  <c r="B133" i="2"/>
  <c r="C133" i="2"/>
  <c r="D133" i="2"/>
  <c r="B134" i="2"/>
  <c r="C134" i="2"/>
  <c r="D134" i="2"/>
  <c r="B135" i="2"/>
  <c r="C135" i="2"/>
  <c r="D135" i="2"/>
  <c r="B136" i="2"/>
  <c r="C136" i="2"/>
  <c r="D136" i="2"/>
  <c r="B137" i="2"/>
  <c r="C137" i="2"/>
  <c r="D137" i="2"/>
  <c r="B138" i="2"/>
  <c r="C138" i="2"/>
  <c r="D138" i="2"/>
  <c r="B139" i="2"/>
  <c r="C139" i="2"/>
  <c r="D13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Tyson Brost</author>
  </authors>
  <commentList>
    <comment ref="N72" authorId="0" shapeId="0" xr:uid="{03604686-DD39-44B3-8C52-9AB952A455A0}">
      <text>
        <r>
          <rPr>
            <sz val="10"/>
            <color indexed="81"/>
            <rFont val="Arial"/>
            <family val="2"/>
          </rPr>
          <t>Overall mean of these unadjusted monthly additive components</t>
        </r>
      </text>
    </comment>
    <comment ref="A74" authorId="0" shapeId="0" xr:uid="{B9005AA8-9127-4531-8981-BB5C15A6BF94}">
      <text>
        <r>
          <rPr>
            <sz val="10"/>
            <color indexed="81"/>
            <rFont val="Arial"/>
            <family val="2"/>
          </rPr>
          <t>Unadjusted monthly additive components</t>
        </r>
      </text>
    </comment>
    <comment ref="A75" authorId="0" shapeId="0" xr:uid="{7BCDF08E-591D-4779-914C-43B84F576306}">
      <text>
        <r>
          <rPr>
            <sz val="10"/>
            <color indexed="81"/>
            <rFont val="Arial"/>
            <family val="2"/>
          </rPr>
          <t>Seasonally adjusted mean for each month</t>
        </r>
      </text>
    </comment>
  </commentList>
</comments>
</file>

<file path=xl/sharedStrings.xml><?xml version="1.0" encoding="utf-8"?>
<sst xmlns="http://schemas.openxmlformats.org/spreadsheetml/2006/main" count="180" uniqueCount="83">
  <si>
    <t>Month</t>
  </si>
  <si>
    <t xml:space="preserve">Deaths
</t>
  </si>
  <si>
    <t xml:space="preserve">Seasonally Adjusted
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</si>
  <si>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</si>
  <si>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</si>
  <si>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</si>
  <si>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</si>
  <si>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</si>
  <si>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</si>
  <si>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</si>
  <si>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</si>
  <si>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</si>
  <si>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</si>
  <si>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</si>
  <si>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</si>
  <si>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</si>
  <si>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</si>
  <si>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</si>
  <si>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</si>
  <si>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</si>
  <si>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</si>
  <si>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</si>
  <si>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</si>
  <si>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</si>
  <si>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</si>
  <si>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</si>
  <si>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</si>
  <si>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</si>
  <si>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</si>
  <si>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</si>
  <si>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</si>
  <si>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</si>
  <si>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</si>
  <si>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</si>
  <si>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</si>
  <si>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</si>
  <si>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</si>
  <si>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</si>
  <si>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</si>
  <si>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</si>
  <si>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</si>
  <si>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</si>
  <si>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</si>
  <si>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</si>
  <si>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</si>
  <si>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</si>
  <si>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</si>
  <si>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</si>
  <si>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</si>
  <si>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</si>
  <si>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</si>
  <si>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</si>
  <si>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</si>
  <si>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</si>
  <si>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</si>
  <si>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</si>
  <si>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</si>
  <si>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</si>
  <si>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</si>
  <si>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</si>
  <si>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</si>
  <si>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</si>
  <si>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</si>
  <si>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</si>
  <si>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</si>
  <si>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</si>
  <si>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</si>
  <si>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</si>
  <si>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</si>
  <si>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</si>
  <si>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</si>
  <si>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</si>
  <si>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</si>
  <si>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</si>
  <si>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</si>
  <si>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</si>
  <si>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Overall
Mean</t>
  </si>
  <si>
    <t>NA</t>
  </si>
  <si>
    <t>Table 2: Computation of</t>
  </si>
  <si>
    <t>Table 1: Computation of the 
Centered Moving Average,      , and the Estimated Monthly Additive Effect,</t>
  </si>
  <si>
    <t>Mean,</t>
  </si>
  <si>
    <t>Table 3: Computation of        the Random Component 
and the Seasonally Adjusted Time Series</t>
  </si>
  <si>
    <t xml:space="preserve">Random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</si>
</sst>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1"/>
      <name val="Arial"/>
      <family val="2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164" fontId="0" fillId="2" borderId="9" xfId="0" applyNumberFormat="1" applyFill="1" applyBorder="1"/>
    <xf numFmtId="164" fontId="0" fillId="0" borderId="10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0" fillId="3" borderId="12" xfId="0" applyFill="1" applyBorder="1"/>
    <xf numFmtId="0" fontId="0" fillId="3" borderId="13" xfId="0" applyFill="1" applyBorder="1"/>
    <xf numFmtId="0" fontId="0" fillId="3" borderId="9" xfId="0" applyFill="1" applyBorder="1" applyAlignment="1">
      <alignment vertical="top"/>
    </xf>
    <xf numFmtId="0" fontId="0" fillId="3" borderId="10" xfId="0" applyFill="1" applyBorder="1"/>
    <xf numFmtId="0" fontId="1" fillId="0" borderId="3" xfId="0" applyFont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4" borderId="14" xfId="0" applyNumberForma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2" borderId="9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295434</xdr:colOff>
      <xdr:row>78</xdr:row>
      <xdr:rowOff>205613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0784572-AA48-4BFB-ACE3-675E6535490D}"/>
                </a:ext>
              </a:extLst>
            </xdr:cNvPr>
            <xdr:cNvSpPr txBox="1"/>
          </xdr:nvSpPr>
          <xdr:spPr>
            <a:xfrm>
              <a:off x="905034" y="1282433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0784572-AA48-4BFB-ACE3-675E6535490D}"/>
                </a:ext>
              </a:extLst>
            </xdr:cNvPr>
            <xdr:cNvSpPr txBox="1"/>
          </xdr:nvSpPr>
          <xdr:spPr>
            <a:xfrm>
              <a:off x="905034" y="1282433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295434</xdr:colOff>
      <xdr:row>78</xdr:row>
      <xdr:rowOff>137033</xdr:rowOff>
    </xdr:from>
    <xdr:ext cx="187167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50120BC-9D03-4D5F-B75E-E130C613088B}"/>
                </a:ext>
              </a:extLst>
            </xdr:cNvPr>
            <xdr:cNvSpPr txBox="1"/>
          </xdr:nvSpPr>
          <xdr:spPr>
            <a:xfrm>
              <a:off x="1674654" y="12755753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50120BC-9D03-4D5F-B75E-E130C613088B}"/>
                </a:ext>
              </a:extLst>
            </xdr:cNvPr>
            <xdr:cNvSpPr txBox="1"/>
          </xdr:nvSpPr>
          <xdr:spPr>
            <a:xfrm>
              <a:off x="1674654" y="12755753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𝑚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341154</xdr:colOff>
      <xdr:row>78</xdr:row>
      <xdr:rowOff>137033</xdr:rowOff>
    </xdr:from>
    <xdr:ext cx="120161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912835A-00DA-4A45-A8B5-7B1DD73976DF}"/>
                </a:ext>
              </a:extLst>
            </xdr:cNvPr>
            <xdr:cNvSpPr txBox="1"/>
          </xdr:nvSpPr>
          <xdr:spPr>
            <a:xfrm>
              <a:off x="2558574" y="12755753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912835A-00DA-4A45-A8B5-7B1DD73976DF}"/>
                </a:ext>
              </a:extLst>
            </xdr:cNvPr>
            <xdr:cNvSpPr txBox="1"/>
          </xdr:nvSpPr>
          <xdr:spPr>
            <a:xfrm>
              <a:off x="2558574" y="12755753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320040</xdr:colOff>
      <xdr:row>78</xdr:row>
      <xdr:rowOff>110490</xdr:rowOff>
    </xdr:from>
    <xdr:ext cx="120161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22CFAF4-516F-44DD-A189-0DA040E52AFC}"/>
                </a:ext>
              </a:extLst>
            </xdr:cNvPr>
            <xdr:cNvSpPr txBox="1"/>
          </xdr:nvSpPr>
          <xdr:spPr>
            <a:xfrm>
              <a:off x="3307080" y="12729210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22CFAF4-516F-44DD-A189-0DA040E52AFC}"/>
                </a:ext>
              </a:extLst>
            </xdr:cNvPr>
            <xdr:cNvSpPr txBox="1"/>
          </xdr:nvSpPr>
          <xdr:spPr>
            <a:xfrm>
              <a:off x="3307080" y="12729210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569754</xdr:colOff>
      <xdr:row>78</xdr:row>
      <xdr:rowOff>205613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CB7772B-17CE-4BEC-A84E-F5F78A05D0A2}"/>
                </a:ext>
              </a:extLst>
            </xdr:cNvPr>
            <xdr:cNvSpPr txBox="1"/>
          </xdr:nvSpPr>
          <xdr:spPr>
            <a:xfrm>
              <a:off x="5096034" y="1282433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CB7772B-17CE-4BEC-A84E-F5F78A05D0A2}"/>
                </a:ext>
              </a:extLst>
            </xdr:cNvPr>
            <xdr:cNvSpPr txBox="1"/>
          </xdr:nvSpPr>
          <xdr:spPr>
            <a:xfrm>
              <a:off x="5096034" y="1282433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114</xdr:row>
      <xdr:rowOff>3810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3C2FDA-35E7-4C93-A879-AFFB6158C042}"/>
            </a:ext>
          </a:extLst>
        </xdr:cNvPr>
        <xdr:cNvSpPr txBox="1"/>
      </xdr:nvSpPr>
      <xdr:spPr>
        <a:xfrm>
          <a:off x="228600" y="27092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129413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011714" y="61709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011714" y="61709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310674</xdr:colOff>
      <xdr:row>1</xdr:row>
      <xdr:rowOff>83693</xdr:rowOff>
    </xdr:from>
    <xdr:ext cx="187167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64E3D6A-E79E-4ECF-8D50-19F4F990BE8B}"/>
                </a:ext>
              </a:extLst>
            </xdr:cNvPr>
            <xdr:cNvSpPr txBox="1"/>
          </xdr:nvSpPr>
          <xdr:spPr>
            <a:xfrm>
              <a:off x="1689894" y="83693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64E3D6A-E79E-4ECF-8D50-19F4F990BE8B}"/>
                </a:ext>
              </a:extLst>
            </xdr:cNvPr>
            <xdr:cNvSpPr txBox="1"/>
          </xdr:nvSpPr>
          <xdr:spPr>
            <a:xfrm>
              <a:off x="1689894" y="83693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𝑚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287814</xdr:colOff>
      <xdr:row>1</xdr:row>
      <xdr:rowOff>83693</xdr:rowOff>
    </xdr:from>
    <xdr:ext cx="120161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A1A8A79-44E8-476B-9195-F8540568B381}"/>
                </a:ext>
              </a:extLst>
            </xdr:cNvPr>
            <xdr:cNvSpPr txBox="1"/>
          </xdr:nvSpPr>
          <xdr:spPr>
            <a:xfrm>
              <a:off x="2505234" y="83693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A1A8A79-44E8-476B-9195-F8540568B381}"/>
                </a:ext>
              </a:extLst>
            </xdr:cNvPr>
            <xdr:cNvSpPr txBox="1"/>
          </xdr:nvSpPr>
          <xdr:spPr>
            <a:xfrm>
              <a:off x="2505234" y="83693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74</xdr:row>
      <xdr:rowOff>3810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90BC55-84F8-478B-872D-2D5850C4096E}"/>
            </a:ext>
          </a:extLst>
        </xdr:cNvPr>
        <xdr:cNvSpPr txBox="1"/>
      </xdr:nvSpPr>
      <xdr:spPr>
        <a:xfrm>
          <a:off x="228600" y="20326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387985</xdr:colOff>
      <xdr:row>71</xdr:row>
      <xdr:rowOff>163195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1B6E03B-BA6C-4EB3-8429-44B0AD4A331A}"/>
                </a:ext>
              </a:extLst>
            </xdr:cNvPr>
            <xdr:cNvSpPr txBox="1"/>
          </xdr:nvSpPr>
          <xdr:spPr>
            <a:xfrm>
              <a:off x="387985" y="13860145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1B6E03B-BA6C-4EB3-8429-44B0AD4A331A}"/>
                </a:ext>
              </a:extLst>
            </xdr:cNvPr>
            <xdr:cNvSpPr txBox="1"/>
          </xdr:nvSpPr>
          <xdr:spPr>
            <a:xfrm>
              <a:off x="387985" y="13860145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381000</xdr:colOff>
      <xdr:row>73</xdr:row>
      <xdr:rowOff>3810</xdr:rowOff>
    </xdr:from>
    <xdr:ext cx="180819" cy="2319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0E334A3-3F05-4FAE-B477-270D60B965BB}"/>
                </a:ext>
              </a:extLst>
            </xdr:cNvPr>
            <xdr:cNvSpPr txBox="1"/>
          </xdr:nvSpPr>
          <xdr:spPr>
            <a:xfrm>
              <a:off x="381000" y="12805410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</m:acc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0E334A3-3F05-4FAE-B477-270D60B965BB}"/>
                </a:ext>
              </a:extLst>
            </xdr:cNvPr>
            <xdr:cNvSpPr txBox="1"/>
          </xdr:nvSpPr>
          <xdr:spPr>
            <a:xfrm>
              <a:off x="381000" y="12805410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 ̂_𝑡 )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13</xdr:col>
      <xdr:colOff>152399</xdr:colOff>
      <xdr:row>72</xdr:row>
      <xdr:rowOff>38100</xdr:rowOff>
    </xdr:from>
    <xdr:ext cx="379575" cy="2509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402D3EB0-4D0A-415F-B22F-48B960FAD7AA}"/>
                </a:ext>
              </a:extLst>
            </xdr:cNvPr>
            <xdr:cNvSpPr txBox="1"/>
          </xdr:nvSpPr>
          <xdr:spPr>
            <a:xfrm>
              <a:off x="10001249" y="14458950"/>
              <a:ext cx="379575" cy="2509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acc>
                    <m:accPr>
                      <m:chr m:val="̿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sSub>
                        <m:sSub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̂"/>
                              <m:ctrlPr>
                                <a:rPr lang="en-US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latin typeface="Cambria Math" panose="02040503050406030204" pitchFamily="18" charset="0"/>
                                </a:rPr>
                                <m:t>𝑠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𝑡</m:t>
                          </m:r>
                        </m:sub>
                      </m:sSub>
                    </m:e>
                  </m:acc>
                </m:oMath>
              </a14:m>
              <a:r>
                <a:rPr lang="en-US" sz="1400"/>
                <a:t>=</a:t>
              </a: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402D3EB0-4D0A-415F-B22F-48B960FAD7AA}"/>
                </a:ext>
              </a:extLst>
            </xdr:cNvPr>
            <xdr:cNvSpPr txBox="1"/>
          </xdr:nvSpPr>
          <xdr:spPr>
            <a:xfrm>
              <a:off x="10001249" y="14458950"/>
              <a:ext cx="379575" cy="2509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 ̂_𝑡 ) ̿</a:t>
              </a:r>
              <a:r>
                <a:rPr lang="en-US" sz="1400"/>
                <a:t>=</a:t>
              </a:r>
            </a:p>
          </xdr:txBody>
        </xdr:sp>
      </mc:Fallback>
    </mc:AlternateContent>
    <xdr:clientData/>
  </xdr:oneCellAnchor>
  <xdr:oneCellAnchor>
    <xdr:from>
      <xdr:col>3</xdr:col>
      <xdr:colOff>399415</xdr:colOff>
      <xdr:row>77</xdr:row>
      <xdr:rowOff>77470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C6F05A0A-24BE-45AD-B694-7CCA2AE811AC}"/>
                </a:ext>
              </a:extLst>
            </xdr:cNvPr>
            <xdr:cNvSpPr txBox="1"/>
          </xdr:nvSpPr>
          <xdr:spPr>
            <a:xfrm>
              <a:off x="2923540" y="15003145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𝑧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C6F05A0A-24BE-45AD-B694-7CCA2AE811AC}"/>
                </a:ext>
              </a:extLst>
            </xdr:cNvPr>
            <xdr:cNvSpPr txBox="1"/>
          </xdr:nvSpPr>
          <xdr:spPr>
            <a:xfrm>
              <a:off x="2923540" y="15003145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𝑧_𝑡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891540</xdr:colOff>
      <xdr:row>66</xdr:row>
      <xdr:rowOff>118110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FD6900EC-E277-4DCD-AD86-BDE6FC0CC10E}"/>
                </a:ext>
              </a:extLst>
            </xdr:cNvPr>
            <xdr:cNvSpPr txBox="1"/>
          </xdr:nvSpPr>
          <xdr:spPr>
            <a:xfrm>
              <a:off x="5684520" y="1240155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FD6900EC-E277-4DCD-AD86-BDE6FC0CC10E}"/>
                </a:ext>
              </a:extLst>
            </xdr:cNvPr>
            <xdr:cNvSpPr txBox="1"/>
          </xdr:nvSpPr>
          <xdr:spPr>
            <a:xfrm>
              <a:off x="5684520" y="1240155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243840</xdr:colOff>
      <xdr:row>102</xdr:row>
      <xdr:rowOff>179070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3E29FC9-116F-5997-38BD-9A524782B181}"/>
                </a:ext>
              </a:extLst>
            </xdr:cNvPr>
            <xdr:cNvSpPr txBox="1"/>
          </xdr:nvSpPr>
          <xdr:spPr>
            <a:xfrm>
              <a:off x="243840" y="1954149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3E29FC9-116F-5997-38BD-9A524782B181}"/>
                </a:ext>
              </a:extLst>
            </xdr:cNvPr>
            <xdr:cNvSpPr txBox="1"/>
          </xdr:nvSpPr>
          <xdr:spPr>
            <a:xfrm>
              <a:off x="243840" y="1954149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104934</xdr:colOff>
      <xdr:row>0</xdr:row>
      <xdr:rowOff>197993</xdr:rowOff>
    </xdr:from>
    <xdr:ext cx="187167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035037E-9943-4494-A9B2-72BFB7A5E426}"/>
                </a:ext>
              </a:extLst>
            </xdr:cNvPr>
            <xdr:cNvSpPr txBox="1"/>
          </xdr:nvSpPr>
          <xdr:spPr>
            <a:xfrm>
              <a:off x="1750854" y="197993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035037E-9943-4494-A9B2-72BFB7A5E426}"/>
                </a:ext>
              </a:extLst>
            </xdr:cNvPr>
            <xdr:cNvSpPr txBox="1"/>
          </xdr:nvSpPr>
          <xdr:spPr>
            <a:xfrm>
              <a:off x="1750854" y="197993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𝑚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714534</xdr:colOff>
      <xdr:row>0</xdr:row>
      <xdr:rowOff>388493</xdr:rowOff>
    </xdr:from>
    <xdr:ext cx="120161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9A13D5F-658B-4AEE-848B-A9936828754E}"/>
                </a:ext>
              </a:extLst>
            </xdr:cNvPr>
            <xdr:cNvSpPr txBox="1"/>
          </xdr:nvSpPr>
          <xdr:spPr>
            <a:xfrm>
              <a:off x="2360454" y="388493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9A13D5F-658B-4AEE-848B-A9936828754E}"/>
                </a:ext>
              </a:extLst>
            </xdr:cNvPr>
            <xdr:cNvSpPr txBox="1"/>
          </xdr:nvSpPr>
          <xdr:spPr>
            <a:xfrm>
              <a:off x="2360454" y="388493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914400</xdr:colOff>
      <xdr:row>65</xdr:row>
      <xdr:rowOff>114300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45778D0-E675-4554-B0C0-B79E5020600B}"/>
                </a:ext>
              </a:extLst>
            </xdr:cNvPr>
            <xdr:cNvSpPr txBox="1"/>
          </xdr:nvSpPr>
          <xdr:spPr>
            <a:xfrm>
              <a:off x="5781675" y="1301115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45778D0-E675-4554-B0C0-B79E5020600B}"/>
                </a:ext>
              </a:extLst>
            </xdr:cNvPr>
            <xdr:cNvSpPr txBox="1"/>
          </xdr:nvSpPr>
          <xdr:spPr>
            <a:xfrm>
              <a:off x="5781675" y="1301115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256540</xdr:colOff>
      <xdr:row>78</xdr:row>
      <xdr:rowOff>210586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AEC3097-FCC7-2824-0FCB-A513C9E1F93E}"/>
                </a:ext>
              </a:extLst>
            </xdr:cNvPr>
            <xdr:cNvSpPr txBox="1"/>
          </xdr:nvSpPr>
          <xdr:spPr>
            <a:xfrm>
              <a:off x="4342765" y="15688711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𝑧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AEC3097-FCC7-2824-0FCB-A513C9E1F93E}"/>
                </a:ext>
              </a:extLst>
            </xdr:cNvPr>
            <xdr:cNvSpPr txBox="1"/>
          </xdr:nvSpPr>
          <xdr:spPr>
            <a:xfrm>
              <a:off x="4342765" y="15688711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𝑧_𝑡</a:t>
              </a:r>
              <a:endParaRPr lang="en-US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F2E6-1E13-48EF-9BE3-D6C90C46BEC8}">
  <dimension ref="A1:N139"/>
  <sheetViews>
    <sheetView tabSelected="1" workbookViewId="0">
      <selection sqref="A1:D1"/>
    </sheetView>
  </sheetViews>
  <sheetFormatPr defaultRowHeight="14.5" x14ac:dyDescent="0.35"/>
  <cols>
    <col min="1" max="2" width="12" customWidth="1"/>
    <col min="3" max="3" width="12.1796875" bestFit="1" customWidth="1"/>
    <col min="4" max="6" width="11.1796875" bestFit="1" customWidth="1"/>
    <col min="7" max="7" width="18.90625" customWidth="1"/>
    <col min="14" max="14" width="9.6328125" customWidth="1"/>
  </cols>
  <sheetData>
    <row r="1" spans="1:4" ht="45.65" customHeight="1" x14ac:dyDescent="0.35">
      <c r="A1" s="33" t="s">
        <v>79</v>
      </c>
      <c r="B1" s="34"/>
      <c r="C1" s="34"/>
      <c r="D1" s="35"/>
    </row>
    <row r="2" spans="1:4" ht="29" x14ac:dyDescent="0.35">
      <c r="A2" s="9" t="s">
        <v>0</v>
      </c>
      <c r="B2" s="10" t="s">
        <v>1</v>
      </c>
      <c r="C2" s="11"/>
      <c r="D2" s="20"/>
    </row>
    <row r="3" spans="1:4" x14ac:dyDescent="0.35">
      <c r="A3" s="3" t="s">
        <v>3</v>
      </c>
      <c r="B3" s="23">
        <v>3034</v>
      </c>
      <c r="C3" s="23" t="s">
        <v>77</v>
      </c>
      <c r="D3" s="24" t="s">
        <v>77</v>
      </c>
    </row>
    <row r="4" spans="1:4" x14ac:dyDescent="0.35">
      <c r="A4" s="3" t="s">
        <v>4</v>
      </c>
      <c r="B4" s="23">
        <v>2748</v>
      </c>
      <c r="C4" s="23" t="s">
        <v>77</v>
      </c>
      <c r="D4" s="24" t="s">
        <v>77</v>
      </c>
    </row>
    <row r="5" spans="1:4" x14ac:dyDescent="0.35">
      <c r="A5" s="3" t="s">
        <v>5</v>
      </c>
      <c r="B5" s="23">
        <v>3164</v>
      </c>
      <c r="C5" s="23" t="s">
        <v>77</v>
      </c>
      <c r="D5" s="24" t="s">
        <v>77</v>
      </c>
    </row>
    <row r="6" spans="1:4" x14ac:dyDescent="0.35">
      <c r="A6" s="3" t="s">
        <v>6</v>
      </c>
      <c r="B6" s="23">
        <v>3238</v>
      </c>
      <c r="C6" s="23" t="s">
        <v>77</v>
      </c>
      <c r="D6" s="24" t="s">
        <v>77</v>
      </c>
    </row>
    <row r="7" spans="1:4" x14ac:dyDescent="0.35">
      <c r="A7" s="3" t="s">
        <v>7</v>
      </c>
      <c r="B7" s="23">
        <v>3416</v>
      </c>
      <c r="C7" s="23" t="s">
        <v>77</v>
      </c>
      <c r="D7" s="24" t="s">
        <v>77</v>
      </c>
    </row>
    <row r="8" spans="1:4" x14ac:dyDescent="0.35">
      <c r="A8" s="3" t="s">
        <v>8</v>
      </c>
      <c r="B8" s="23">
        <v>3492</v>
      </c>
      <c r="C8" s="23" t="s">
        <v>77</v>
      </c>
      <c r="D8" s="24" t="s">
        <v>77</v>
      </c>
    </row>
    <row r="9" spans="1:4" x14ac:dyDescent="0.35">
      <c r="A9" s="3" t="s">
        <v>9</v>
      </c>
      <c r="B9" s="23">
        <v>3730</v>
      </c>
      <c r="C9" s="25">
        <v>3351.5833333333335</v>
      </c>
      <c r="D9" s="27">
        <v>378.41666666666652</v>
      </c>
    </row>
    <row r="10" spans="1:4" x14ac:dyDescent="0.35">
      <c r="A10" s="3" t="s">
        <v>10</v>
      </c>
      <c r="B10" s="23">
        <v>3409</v>
      </c>
      <c r="C10" s="25">
        <v>3350</v>
      </c>
      <c r="D10" s="27">
        <v>59</v>
      </c>
    </row>
    <row r="11" spans="1:4" x14ac:dyDescent="0.35">
      <c r="A11" s="3" t="s">
        <v>11</v>
      </c>
      <c r="B11" s="23">
        <v>3572</v>
      </c>
      <c r="C11" s="25">
        <v>3343.2083333333335</v>
      </c>
      <c r="D11" s="27">
        <v>228.79166666666652</v>
      </c>
    </row>
    <row r="12" spans="1:4" x14ac:dyDescent="0.35">
      <c r="A12" s="3" t="s">
        <v>12</v>
      </c>
      <c r="B12" s="23">
        <v>3629</v>
      </c>
      <c r="C12" s="25">
        <v>3326.2083333333335</v>
      </c>
      <c r="D12" s="27">
        <v>302.79166666666652</v>
      </c>
    </row>
    <row r="13" spans="1:4" x14ac:dyDescent="0.35">
      <c r="A13" s="3" t="s">
        <v>13</v>
      </c>
      <c r="B13" s="23">
        <v>3408</v>
      </c>
      <c r="C13" s="25">
        <v>3316.5416666666665</v>
      </c>
      <c r="D13" s="27">
        <v>91.458333333333485</v>
      </c>
    </row>
    <row r="14" spans="1:4" x14ac:dyDescent="0.35">
      <c r="A14" s="3" t="s">
        <v>14</v>
      </c>
      <c r="B14" s="23">
        <v>3391</v>
      </c>
      <c r="C14" s="25">
        <v>3318.5833333333335</v>
      </c>
      <c r="D14" s="27">
        <v>72.416666666666515</v>
      </c>
    </row>
    <row r="15" spans="1:4" x14ac:dyDescent="0.35">
      <c r="A15" s="3" t="s">
        <v>15</v>
      </c>
      <c r="B15" s="23">
        <v>3010</v>
      </c>
      <c r="C15" s="25">
        <v>3312.0833333333335</v>
      </c>
      <c r="D15" s="26"/>
    </row>
    <row r="16" spans="1:4" x14ac:dyDescent="0.35">
      <c r="A16" s="3" t="s">
        <v>16</v>
      </c>
      <c r="B16" s="23">
        <v>2734</v>
      </c>
      <c r="C16" s="25">
        <v>3308.0416666666665</v>
      </c>
      <c r="D16" s="26"/>
    </row>
    <row r="17" spans="1:4" x14ac:dyDescent="0.35">
      <c r="A17" s="3" t="s">
        <v>17</v>
      </c>
      <c r="B17" s="23">
        <v>3015</v>
      </c>
      <c r="C17" s="25">
        <v>3311.7083333333335</v>
      </c>
      <c r="D17" s="26"/>
    </row>
    <row r="18" spans="1:4" x14ac:dyDescent="0.35">
      <c r="A18" s="3" t="s">
        <v>18</v>
      </c>
      <c r="B18" s="23">
        <v>2979</v>
      </c>
      <c r="C18" s="25">
        <v>3313.1666666666665</v>
      </c>
      <c r="D18" s="26"/>
    </row>
    <row r="19" spans="1:4" x14ac:dyDescent="0.35">
      <c r="A19" s="3" t="s">
        <v>19</v>
      </c>
      <c r="B19" s="23">
        <v>3443</v>
      </c>
      <c r="C19" s="25">
        <v>3307.75</v>
      </c>
      <c r="D19" s="26"/>
    </row>
    <row r="20" spans="1:4" x14ac:dyDescent="0.35">
      <c r="A20" s="3" t="s">
        <v>20</v>
      </c>
      <c r="B20" s="23">
        <v>3514</v>
      </c>
      <c r="C20" s="25">
        <v>3292.4166666666665</v>
      </c>
      <c r="D20" s="26"/>
    </row>
    <row r="21" spans="1:4" x14ac:dyDescent="0.35">
      <c r="A21" s="3" t="s">
        <v>21</v>
      </c>
      <c r="B21" s="23">
        <v>3552</v>
      </c>
      <c r="C21" s="25">
        <v>3281.0833333333335</v>
      </c>
      <c r="D21" s="26"/>
    </row>
    <row r="22" spans="1:4" x14ac:dyDescent="0.35">
      <c r="A22" s="3" t="s">
        <v>22</v>
      </c>
      <c r="B22" s="23">
        <v>3490</v>
      </c>
      <c r="C22" s="25">
        <v>3270.2083333333335</v>
      </c>
      <c r="D22" s="26"/>
    </row>
    <row r="23" spans="1:4" x14ac:dyDescent="0.35">
      <c r="A23" s="3" t="s">
        <v>23</v>
      </c>
      <c r="B23" s="23">
        <v>3579</v>
      </c>
      <c r="C23" s="25">
        <v>3259.4583333333335</v>
      </c>
      <c r="D23" s="26"/>
    </row>
    <row r="24" spans="1:4" x14ac:dyDescent="0.35">
      <c r="A24" s="3" t="s">
        <v>24</v>
      </c>
      <c r="B24" s="23">
        <v>3657</v>
      </c>
      <c r="C24" s="25">
        <v>3261.1666666666665</v>
      </c>
      <c r="D24" s="26"/>
    </row>
    <row r="25" spans="1:4" x14ac:dyDescent="0.35">
      <c r="A25" s="3" t="s">
        <v>25</v>
      </c>
      <c r="B25" s="23">
        <v>3250</v>
      </c>
      <c r="C25" s="25">
        <v>3264.25</v>
      </c>
      <c r="D25" s="26"/>
    </row>
    <row r="26" spans="1:4" x14ac:dyDescent="0.35">
      <c r="A26" s="3" t="s">
        <v>26</v>
      </c>
      <c r="B26" s="23">
        <v>3181</v>
      </c>
      <c r="C26" s="25">
        <v>3260.4583333333335</v>
      </c>
      <c r="D26" s="26"/>
    </row>
    <row r="27" spans="1:4" x14ac:dyDescent="0.35">
      <c r="A27" s="3" t="s">
        <v>27</v>
      </c>
      <c r="B27" s="23">
        <v>2948</v>
      </c>
      <c r="C27" s="25">
        <v>3256.7083333333335</v>
      </c>
      <c r="D27" s="26"/>
    </row>
    <row r="28" spans="1:4" x14ac:dyDescent="0.35">
      <c r="A28" s="3" t="s">
        <v>28</v>
      </c>
      <c r="B28" s="23">
        <v>2535</v>
      </c>
      <c r="C28" s="25">
        <v>3262.125</v>
      </c>
      <c r="D28" s="26"/>
    </row>
    <row r="29" spans="1:4" x14ac:dyDescent="0.35">
      <c r="A29" s="3" t="s">
        <v>29</v>
      </c>
      <c r="B29" s="23">
        <v>2956</v>
      </c>
      <c r="C29" s="25">
        <v>3267.0833333333335</v>
      </c>
      <c r="D29" s="26"/>
    </row>
    <row r="30" spans="1:4" x14ac:dyDescent="0.35">
      <c r="A30" s="3" t="s">
        <v>30</v>
      </c>
      <c r="B30" s="23">
        <v>3079</v>
      </c>
      <c r="C30" s="25">
        <v>3259.2916666666665</v>
      </c>
      <c r="D30" s="26"/>
    </row>
    <row r="31" spans="1:4" x14ac:dyDescent="0.35">
      <c r="A31" s="3" t="s">
        <v>31</v>
      </c>
      <c r="B31" s="23">
        <v>3417</v>
      </c>
      <c r="C31" s="25">
        <v>3254</v>
      </c>
      <c r="D31" s="26"/>
    </row>
    <row r="32" spans="1:4" x14ac:dyDescent="0.35">
      <c r="A32" s="3" t="s">
        <v>32</v>
      </c>
      <c r="B32" s="23">
        <v>3449</v>
      </c>
      <c r="C32" s="25">
        <v>3256.9583333333335</v>
      </c>
      <c r="D32" s="26"/>
    </row>
    <row r="33" spans="1:4" x14ac:dyDescent="0.35">
      <c r="A33" s="3" t="s">
        <v>33</v>
      </c>
      <c r="B33" s="23">
        <v>3527</v>
      </c>
      <c r="C33" s="25">
        <v>3256.7083333333335</v>
      </c>
      <c r="D33" s="26"/>
    </row>
    <row r="34" spans="1:4" x14ac:dyDescent="0.35">
      <c r="A34" s="3" t="s">
        <v>34</v>
      </c>
      <c r="B34" s="23">
        <v>3645</v>
      </c>
      <c r="C34" s="25">
        <v>3269</v>
      </c>
      <c r="D34" s="26"/>
    </row>
    <row r="35" spans="1:4" x14ac:dyDescent="0.35">
      <c r="A35" s="3" t="s">
        <v>35</v>
      </c>
      <c r="B35" s="23">
        <v>3543</v>
      </c>
      <c r="C35" s="25">
        <v>3279.0833333333335</v>
      </c>
      <c r="D35" s="26"/>
    </row>
    <row r="36" spans="1:4" x14ac:dyDescent="0.35">
      <c r="A36" s="3" t="s">
        <v>36</v>
      </c>
      <c r="B36" s="23">
        <v>3506</v>
      </c>
      <c r="C36" s="25">
        <v>3252.8333333333335</v>
      </c>
      <c r="D36" s="26"/>
    </row>
    <row r="37" spans="1:4" x14ac:dyDescent="0.35">
      <c r="A37" s="3" t="s">
        <v>37</v>
      </c>
      <c r="B37" s="23">
        <v>3274</v>
      </c>
      <c r="C37" s="25">
        <v>3228.0416666666665</v>
      </c>
      <c r="D37" s="26"/>
    </row>
    <row r="38" spans="1:4" x14ac:dyDescent="0.35">
      <c r="A38" s="3" t="s">
        <v>38</v>
      </c>
      <c r="B38" s="23">
        <v>3228</v>
      </c>
      <c r="C38" s="25">
        <v>3248.2083333333335</v>
      </c>
      <c r="D38" s="26"/>
    </row>
    <row r="39" spans="1:4" x14ac:dyDescent="0.35">
      <c r="A39" s="3" t="s">
        <v>39</v>
      </c>
      <c r="B39" s="23">
        <v>2895</v>
      </c>
      <c r="C39" s="25">
        <v>3294.2916666666665</v>
      </c>
      <c r="D39" s="26"/>
    </row>
    <row r="40" spans="1:4" x14ac:dyDescent="0.35">
      <c r="A40" s="3" t="s">
        <v>40</v>
      </c>
      <c r="B40" s="23">
        <v>2883</v>
      </c>
      <c r="C40" s="25">
        <v>3340.3333333333335</v>
      </c>
      <c r="D40" s="26"/>
    </row>
    <row r="41" spans="1:4" x14ac:dyDescent="0.35">
      <c r="A41" s="3" t="s">
        <v>41</v>
      </c>
      <c r="B41" s="23">
        <v>2850</v>
      </c>
      <c r="C41" s="25">
        <v>3384.6666666666665</v>
      </c>
      <c r="D41" s="26"/>
    </row>
    <row r="42" spans="1:4" x14ac:dyDescent="0.35">
      <c r="A42" s="3" t="s">
        <v>42</v>
      </c>
      <c r="B42" s="23">
        <v>2555</v>
      </c>
      <c r="C42" s="25">
        <v>3433.5416666666665</v>
      </c>
      <c r="D42" s="26"/>
    </row>
    <row r="43" spans="1:4" x14ac:dyDescent="0.35">
      <c r="A43" s="3" t="s">
        <v>43</v>
      </c>
      <c r="B43" s="23">
        <v>3346</v>
      </c>
      <c r="C43" s="25">
        <v>3481.2916666666665</v>
      </c>
      <c r="D43" s="26"/>
    </row>
    <row r="44" spans="1:4" x14ac:dyDescent="0.35">
      <c r="A44" s="3" t="s">
        <v>44</v>
      </c>
      <c r="B44" s="23">
        <v>4004</v>
      </c>
      <c r="C44" s="25">
        <v>3514.8333333333335</v>
      </c>
      <c r="D44" s="26"/>
    </row>
    <row r="45" spans="1:4" x14ac:dyDescent="0.35">
      <c r="A45" s="3" t="s">
        <v>45</v>
      </c>
      <c r="B45" s="23">
        <v>4078</v>
      </c>
      <c r="C45" s="25">
        <v>3549.875</v>
      </c>
      <c r="D45" s="26"/>
    </row>
    <row r="46" spans="1:4" x14ac:dyDescent="0.35">
      <c r="A46" s="3" t="s">
        <v>46</v>
      </c>
      <c r="B46" s="23">
        <v>4199</v>
      </c>
      <c r="C46" s="25">
        <v>3567.7083333333335</v>
      </c>
      <c r="D46" s="26"/>
    </row>
    <row r="47" spans="1:4" x14ac:dyDescent="0.35">
      <c r="A47" s="3" t="s">
        <v>47</v>
      </c>
      <c r="B47" s="23">
        <v>4053</v>
      </c>
      <c r="C47" s="25">
        <v>3590.6666666666665</v>
      </c>
      <c r="D47" s="26"/>
    </row>
    <row r="48" spans="1:4" x14ac:dyDescent="0.35">
      <c r="A48" s="3" t="s">
        <v>48</v>
      </c>
      <c r="B48" s="23">
        <v>4169</v>
      </c>
      <c r="C48" s="25">
        <v>3672.125</v>
      </c>
      <c r="D48" s="26"/>
    </row>
    <row r="49" spans="1:4" x14ac:dyDescent="0.35">
      <c r="A49" s="3" t="s">
        <v>49</v>
      </c>
      <c r="B49" s="23">
        <v>3757</v>
      </c>
      <c r="C49" s="25">
        <v>3758.1666666666665</v>
      </c>
      <c r="D49" s="26"/>
    </row>
    <row r="50" spans="1:4" x14ac:dyDescent="0.35">
      <c r="A50" s="3" t="s">
        <v>50</v>
      </c>
      <c r="B50" s="23">
        <v>3550</v>
      </c>
      <c r="C50" s="25">
        <v>3793.7916666666665</v>
      </c>
      <c r="D50" s="26"/>
    </row>
    <row r="51" spans="1:4" x14ac:dyDescent="0.35">
      <c r="A51" s="3" t="s">
        <v>51</v>
      </c>
      <c r="B51" s="23">
        <v>3414</v>
      </c>
      <c r="C51" s="25">
        <v>3804.8333333333335</v>
      </c>
      <c r="D51" s="26"/>
    </row>
    <row r="52" spans="1:4" x14ac:dyDescent="0.35">
      <c r="A52" s="3" t="s">
        <v>52</v>
      </c>
      <c r="B52" s="23">
        <v>2792</v>
      </c>
      <c r="C52" s="25">
        <v>3816.625</v>
      </c>
      <c r="D52" s="26"/>
    </row>
    <row r="53" spans="1:4" x14ac:dyDescent="0.35">
      <c r="A53" s="3" t="s">
        <v>53</v>
      </c>
      <c r="B53" s="23">
        <v>3492</v>
      </c>
      <c r="C53" s="25">
        <v>3830.9583333333335</v>
      </c>
      <c r="D53" s="26"/>
    </row>
    <row r="54" spans="1:4" x14ac:dyDescent="0.35">
      <c r="A54" s="3" t="s">
        <v>54</v>
      </c>
      <c r="B54" s="23">
        <v>3868</v>
      </c>
      <c r="C54" s="25">
        <v>3853.2916666666665</v>
      </c>
      <c r="D54" s="26"/>
    </row>
    <row r="55" spans="1:4" x14ac:dyDescent="0.35">
      <c r="A55" s="3" t="s">
        <v>55</v>
      </c>
      <c r="B55" s="23">
        <v>4098</v>
      </c>
      <c r="C55" s="25">
        <v>3875.5</v>
      </c>
      <c r="D55" s="26"/>
    </row>
    <row r="56" spans="1:4" x14ac:dyDescent="0.35">
      <c r="A56" s="3" t="s">
        <v>56</v>
      </c>
      <c r="B56" s="23">
        <v>4107</v>
      </c>
      <c r="C56" s="25">
        <v>3899.8333333333335</v>
      </c>
      <c r="D56" s="26"/>
    </row>
    <row r="57" spans="1:4" x14ac:dyDescent="0.35">
      <c r="A57" s="3" t="s">
        <v>57</v>
      </c>
      <c r="B57" s="23">
        <v>4240</v>
      </c>
      <c r="C57" s="23" t="s">
        <v>77</v>
      </c>
      <c r="D57" s="26"/>
    </row>
    <row r="58" spans="1:4" x14ac:dyDescent="0.35">
      <c r="A58" s="3" t="s">
        <v>58</v>
      </c>
      <c r="B58" s="23">
        <v>4320</v>
      </c>
      <c r="C58" s="23" t="s">
        <v>77</v>
      </c>
      <c r="D58" s="26"/>
    </row>
    <row r="59" spans="1:4" x14ac:dyDescent="0.35">
      <c r="A59" s="3" t="s">
        <v>59</v>
      </c>
      <c r="B59" s="23">
        <v>4276</v>
      </c>
      <c r="C59" s="23" t="s">
        <v>77</v>
      </c>
      <c r="D59" s="26"/>
    </row>
    <row r="60" spans="1:4" x14ac:dyDescent="0.35">
      <c r="A60" s="3" t="s">
        <v>60</v>
      </c>
      <c r="B60" s="23">
        <v>4482</v>
      </c>
      <c r="C60" s="23" t="s">
        <v>77</v>
      </c>
      <c r="D60" s="26"/>
    </row>
    <row r="61" spans="1:4" x14ac:dyDescent="0.35">
      <c r="A61" s="3" t="s">
        <v>61</v>
      </c>
      <c r="B61" s="23">
        <v>3977</v>
      </c>
      <c r="C61" s="23" t="s">
        <v>77</v>
      </c>
      <c r="D61" s="26"/>
    </row>
    <row r="62" spans="1:4" x14ac:dyDescent="0.35">
      <c r="A62" s="4" t="s">
        <v>62</v>
      </c>
      <c r="B62" s="28">
        <v>3914</v>
      </c>
      <c r="C62" s="28" t="s">
        <v>77</v>
      </c>
      <c r="D62" s="26"/>
    </row>
    <row r="66" spans="1:14" ht="34.75" customHeight="1" x14ac:dyDescent="0.35">
      <c r="A66" s="36" t="s">
        <v>78</v>
      </c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2"/>
    </row>
    <row r="67" spans="1:14" x14ac:dyDescent="0.35">
      <c r="A67" s="21" t="s">
        <v>63</v>
      </c>
      <c r="B67" s="16" t="s">
        <v>64</v>
      </c>
      <c r="C67" s="16" t="s">
        <v>65</v>
      </c>
      <c r="D67" s="16" t="s">
        <v>66</v>
      </c>
      <c r="E67" s="16" t="s">
        <v>67</v>
      </c>
      <c r="F67" s="16" t="s">
        <v>68</v>
      </c>
      <c r="G67" s="16" t="s">
        <v>69</v>
      </c>
      <c r="H67" s="16" t="s">
        <v>70</v>
      </c>
      <c r="I67" s="16" t="s">
        <v>71</v>
      </c>
      <c r="J67" s="16" t="s">
        <v>72</v>
      </c>
      <c r="K67" s="16" t="s">
        <v>73</v>
      </c>
      <c r="L67" s="16" t="s">
        <v>74</v>
      </c>
      <c r="M67" s="17" t="s">
        <v>75</v>
      </c>
      <c r="N67" s="5"/>
    </row>
    <row r="68" spans="1:14" x14ac:dyDescent="0.35">
      <c r="A68" s="22">
        <v>2017</v>
      </c>
      <c r="B68" s="23" t="s">
        <v>77</v>
      </c>
      <c r="C68" s="23" t="s">
        <v>77</v>
      </c>
      <c r="D68" s="23" t="s">
        <v>77</v>
      </c>
      <c r="E68" s="23" t="s">
        <v>77</v>
      </c>
      <c r="F68" s="23" t="s">
        <v>77</v>
      </c>
      <c r="G68" s="23" t="s">
        <v>77</v>
      </c>
      <c r="H68" s="26"/>
      <c r="I68" s="26"/>
      <c r="J68" s="26"/>
      <c r="K68" s="26"/>
      <c r="L68" s="26"/>
      <c r="M68" s="26"/>
      <c r="N68" s="6"/>
    </row>
    <row r="69" spans="1:14" x14ac:dyDescent="0.35">
      <c r="A69" s="22">
        <v>2018</v>
      </c>
      <c r="B69" s="26"/>
      <c r="C69" s="26"/>
      <c r="D69" s="25">
        <v>-296.70833333333348</v>
      </c>
      <c r="E69" s="25">
        <v>-334.16666666666652</v>
      </c>
      <c r="F69" s="25">
        <v>135.25</v>
      </c>
      <c r="G69" s="25">
        <v>221.58333333333348</v>
      </c>
      <c r="H69" s="25">
        <v>270.91666666666652</v>
      </c>
      <c r="I69" s="25">
        <v>219.79166666666652</v>
      </c>
      <c r="J69" s="25">
        <v>319.54166666666652</v>
      </c>
      <c r="K69" s="25">
        <v>395.83333333333348</v>
      </c>
      <c r="L69" s="25">
        <v>-14.25</v>
      </c>
      <c r="M69" s="27">
        <v>-79.458333333333485</v>
      </c>
      <c r="N69" s="6"/>
    </row>
    <row r="70" spans="1:14" x14ac:dyDescent="0.35">
      <c r="A70" s="22">
        <v>2019</v>
      </c>
      <c r="B70" s="25">
        <v>-308.70833333333348</v>
      </c>
      <c r="C70" s="25">
        <v>-727.125</v>
      </c>
      <c r="D70" s="25">
        <v>-311.08333333333348</v>
      </c>
      <c r="E70" s="25">
        <v>-180.29166666666652</v>
      </c>
      <c r="F70" s="25">
        <v>163</v>
      </c>
      <c r="G70" s="25">
        <v>192.04166666666652</v>
      </c>
      <c r="H70" s="25">
        <v>270.29166666666652</v>
      </c>
      <c r="I70" s="25">
        <v>376</v>
      </c>
      <c r="J70" s="25">
        <v>263.91666666666652</v>
      </c>
      <c r="K70" s="25">
        <v>253.16666666666652</v>
      </c>
      <c r="L70" s="25">
        <v>45.958333333333485</v>
      </c>
      <c r="M70" s="27">
        <v>-20.208333333333485</v>
      </c>
      <c r="N70" s="6"/>
    </row>
    <row r="71" spans="1:14" x14ac:dyDescent="0.35">
      <c r="A71" s="22">
        <v>2020</v>
      </c>
      <c r="B71" s="25">
        <v>-399.29166666666652</v>
      </c>
      <c r="C71" s="25">
        <v>-457.33333333333348</v>
      </c>
      <c r="D71" s="25">
        <v>-534.66666666666652</v>
      </c>
      <c r="E71" s="25">
        <v>-878.54166666666652</v>
      </c>
      <c r="F71" s="25">
        <v>-135.29166666666652</v>
      </c>
      <c r="G71" s="25">
        <v>489.16666666666652</v>
      </c>
      <c r="H71" s="25">
        <v>528.125</v>
      </c>
      <c r="I71" s="25">
        <v>631.29166666666652</v>
      </c>
      <c r="J71" s="25">
        <v>462.33333333333348</v>
      </c>
      <c r="K71" s="25">
        <v>496.875</v>
      </c>
      <c r="L71" s="25">
        <v>-1.1666666666665151</v>
      </c>
      <c r="M71" s="27">
        <v>-243.79166666666652</v>
      </c>
      <c r="N71" s="38" t="s">
        <v>76</v>
      </c>
    </row>
    <row r="72" spans="1:14" x14ac:dyDescent="0.35">
      <c r="A72" s="22">
        <v>2021</v>
      </c>
      <c r="B72" s="25">
        <v>-390.83333333333348</v>
      </c>
      <c r="C72" s="25">
        <v>-1024.625</v>
      </c>
      <c r="D72" s="25">
        <v>-338.95833333333348</v>
      </c>
      <c r="E72" s="25">
        <v>14.708333333333485</v>
      </c>
      <c r="F72" s="25">
        <v>222.5</v>
      </c>
      <c r="G72" s="25">
        <v>207.16666666666652</v>
      </c>
      <c r="H72" s="23" t="s">
        <v>77</v>
      </c>
      <c r="I72" s="23" t="s">
        <v>77</v>
      </c>
      <c r="J72" s="23" t="s">
        <v>77</v>
      </c>
      <c r="K72" s="23" t="s">
        <v>77</v>
      </c>
      <c r="L72" s="23" t="s">
        <v>77</v>
      </c>
      <c r="M72" s="24" t="s">
        <v>77</v>
      </c>
      <c r="N72" s="39"/>
    </row>
    <row r="73" spans="1:14" ht="21" customHeight="1" x14ac:dyDescent="0.35">
      <c r="A73" s="18" t="s">
        <v>80</v>
      </c>
      <c r="B73" s="25">
        <v>-350.22916666666674</v>
      </c>
      <c r="C73" s="25">
        <v>-695.78125</v>
      </c>
      <c r="D73" s="25">
        <v>-370.35416666666674</v>
      </c>
      <c r="E73" s="26"/>
      <c r="F73" s="26"/>
      <c r="G73" s="26"/>
      <c r="H73" s="26"/>
      <c r="I73" s="26"/>
      <c r="J73" s="26"/>
      <c r="K73" s="26"/>
      <c r="L73" s="26"/>
      <c r="M73" s="26"/>
      <c r="N73" s="7">
        <v>-5.0060763888889142</v>
      </c>
    </row>
    <row r="74" spans="1:14" ht="19.25" customHeight="1" x14ac:dyDescent="0.35">
      <c r="A74" s="19"/>
      <c r="B74" s="29">
        <v>-345.22309027777783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8"/>
    </row>
    <row r="75" spans="1:14" x14ac:dyDescent="0.35"/>
    <row r="78" spans="1:14" ht="43.75" customHeight="1" x14ac:dyDescent="0.45">
      <c r="A78" s="30" t="s">
        <v>81</v>
      </c>
      <c r="B78" s="31"/>
      <c r="C78" s="31"/>
      <c r="D78" s="31"/>
      <c r="E78" s="31"/>
      <c r="F78" s="31"/>
      <c r="G78" s="32"/>
    </row>
    <row r="79" spans="1:14" ht="37.75" customHeight="1" x14ac:dyDescent="0.35">
      <c r="A79" s="12" t="s">
        <v>0</v>
      </c>
      <c r="B79" s="13" t="s">
        <v>1</v>
      </c>
      <c r="C79" s="14"/>
      <c r="D79" s="14"/>
      <c r="E79" s="14"/>
      <c r="F79" s="13" t="s">
        <v>82</v>
      </c>
      <c r="G79" s="15" t="s">
        <v>2</v>
      </c>
    </row>
    <row r="80" spans="1:14" x14ac:dyDescent="0.35">
      <c r="A80" s="3" t="s">
        <v>3</v>
      </c>
      <c r="B80" s="23">
        <f>B3</f>
        <v>3034</v>
      </c>
      <c r="C80" s="23" t="str">
        <f t="shared" ref="C80" si="0">C3</f>
        <v>NA</v>
      </c>
      <c r="D80" s="42" t="str">
        <f>IF(LEN(D3)&gt;0,D3,"")</f>
        <v>NA</v>
      </c>
      <c r="E80" s="40">
        <v>-345.22309027777783</v>
      </c>
      <c r="F80" s="23" t="s">
        <v>77</v>
      </c>
      <c r="G80" s="41">
        <v>3379.2230902777778</v>
      </c>
    </row>
    <row r="81" spans="1:8" x14ac:dyDescent="0.35">
      <c r="A81" s="3" t="s">
        <v>4</v>
      </c>
      <c r="B81" s="23">
        <f t="shared" ref="B81:C96" si="1">B4</f>
        <v>2748</v>
      </c>
      <c r="C81" s="23" t="str">
        <f t="shared" si="1"/>
        <v>NA</v>
      </c>
      <c r="D81" s="24" t="str">
        <f t="shared" ref="D81:D139" si="2">IF(LEN(D4)&gt;0,D4,"")</f>
        <v>NA</v>
      </c>
      <c r="E81" s="26"/>
      <c r="F81" s="23" t="s">
        <v>77</v>
      </c>
      <c r="G81" s="26"/>
    </row>
    <row r="82" spans="1:8" x14ac:dyDescent="0.35">
      <c r="A82" s="3" t="s">
        <v>5</v>
      </c>
      <c r="B82" s="23">
        <f t="shared" si="1"/>
        <v>3164</v>
      </c>
      <c r="C82" s="23" t="str">
        <f t="shared" si="1"/>
        <v>NA</v>
      </c>
      <c r="D82" s="24" t="str">
        <f t="shared" si="2"/>
        <v>NA</v>
      </c>
      <c r="E82" s="26"/>
      <c r="F82" s="23" t="s">
        <v>77</v>
      </c>
      <c r="G82" s="26"/>
    </row>
    <row r="83" spans="1:8" x14ac:dyDescent="0.35">
      <c r="A83" s="3" t="s">
        <v>6</v>
      </c>
      <c r="B83" s="23">
        <f t="shared" si="1"/>
        <v>3238</v>
      </c>
      <c r="C83" s="23" t="str">
        <f t="shared" si="1"/>
        <v>NA</v>
      </c>
      <c r="D83" s="24" t="str">
        <f t="shared" si="2"/>
        <v>NA</v>
      </c>
      <c r="E83" s="26"/>
      <c r="F83" s="23" t="s">
        <v>77</v>
      </c>
      <c r="G83" s="26"/>
    </row>
    <row r="84" spans="1:8" x14ac:dyDescent="0.35">
      <c r="A84" s="3" t="s">
        <v>7</v>
      </c>
      <c r="B84" s="23">
        <f t="shared" si="1"/>
        <v>3416</v>
      </c>
      <c r="C84" s="23" t="str">
        <f t="shared" si="1"/>
        <v>NA</v>
      </c>
      <c r="D84" s="24" t="str">
        <f t="shared" si="2"/>
        <v>NA</v>
      </c>
      <c r="E84" s="26"/>
      <c r="F84" s="23" t="s">
        <v>77</v>
      </c>
      <c r="G84" s="26"/>
    </row>
    <row r="85" spans="1:8" x14ac:dyDescent="0.35">
      <c r="A85" s="3" t="s">
        <v>8</v>
      </c>
      <c r="B85" s="23">
        <f t="shared" si="1"/>
        <v>3492</v>
      </c>
      <c r="C85" s="23" t="str">
        <f t="shared" si="1"/>
        <v>NA</v>
      </c>
      <c r="D85" s="24" t="str">
        <f t="shared" si="2"/>
        <v>NA</v>
      </c>
      <c r="E85" s="26"/>
      <c r="F85" s="23" t="s">
        <v>77</v>
      </c>
      <c r="G85" s="26"/>
    </row>
    <row r="86" spans="1:8" x14ac:dyDescent="0.35">
      <c r="A86" s="3" t="s">
        <v>9</v>
      </c>
      <c r="B86" s="23">
        <f t="shared" si="1"/>
        <v>3730</v>
      </c>
      <c r="C86" s="25">
        <f t="shared" si="1"/>
        <v>3351.5833333333335</v>
      </c>
      <c r="D86" s="27">
        <f t="shared" si="2"/>
        <v>378.41666666666652</v>
      </c>
      <c r="E86" s="26"/>
      <c r="F86" s="25">
        <v>11.473090277777715</v>
      </c>
      <c r="G86" s="26"/>
    </row>
    <row r="87" spans="1:8" x14ac:dyDescent="0.35">
      <c r="A87" s="3" t="s">
        <v>10</v>
      </c>
      <c r="B87" s="23">
        <f t="shared" si="1"/>
        <v>3409</v>
      </c>
      <c r="C87" s="25">
        <f t="shared" si="1"/>
        <v>3350</v>
      </c>
      <c r="D87" s="27">
        <f t="shared" si="2"/>
        <v>59</v>
      </c>
      <c r="E87" s="26"/>
      <c r="F87" s="26"/>
      <c r="G87" s="26"/>
    </row>
    <row r="88" spans="1:8" x14ac:dyDescent="0.35">
      <c r="A88" s="3" t="s">
        <v>11</v>
      </c>
      <c r="B88" s="23">
        <f t="shared" si="1"/>
        <v>3572</v>
      </c>
      <c r="C88" s="25">
        <f t="shared" si="1"/>
        <v>3343.2083333333335</v>
      </c>
      <c r="D88" s="27">
        <f t="shared" si="2"/>
        <v>228.79166666666652</v>
      </c>
      <c r="E88" s="26"/>
      <c r="F88" s="26"/>
      <c r="G88" s="26"/>
    </row>
    <row r="89" spans="1:8" x14ac:dyDescent="0.35">
      <c r="A89" s="3" t="s">
        <v>12</v>
      </c>
      <c r="B89" s="23">
        <f t="shared" si="1"/>
        <v>3629</v>
      </c>
      <c r="C89" s="25">
        <f t="shared" si="1"/>
        <v>3326.2083333333335</v>
      </c>
      <c r="D89" s="27">
        <f t="shared" si="2"/>
        <v>302.79166666666652</v>
      </c>
      <c r="E89" s="26"/>
      <c r="F89" s="26"/>
      <c r="G89" s="26"/>
    </row>
    <row r="90" spans="1:8" x14ac:dyDescent="0.35">
      <c r="A90" s="3" t="s">
        <v>13</v>
      </c>
      <c r="B90" s="23">
        <f t="shared" si="1"/>
        <v>3408</v>
      </c>
      <c r="C90" s="25">
        <f t="shared" si="1"/>
        <v>3316.5416666666665</v>
      </c>
      <c r="D90" s="27">
        <f t="shared" si="2"/>
        <v>91.458333333333485</v>
      </c>
      <c r="E90" s="26"/>
      <c r="F90" s="26"/>
      <c r="G90" s="26"/>
    </row>
    <row r="91" spans="1:8" x14ac:dyDescent="0.35">
      <c r="A91" s="3" t="s">
        <v>14</v>
      </c>
      <c r="B91" s="23">
        <f t="shared" si="1"/>
        <v>3391</v>
      </c>
      <c r="C91" s="25">
        <f t="shared" si="1"/>
        <v>3318.5833333333335</v>
      </c>
      <c r="D91" s="27">
        <f t="shared" si="2"/>
        <v>72.416666666666515</v>
      </c>
      <c r="E91" s="26"/>
      <c r="F91" s="26"/>
      <c r="G91" s="26"/>
    </row>
    <row r="92" spans="1:8" x14ac:dyDescent="0.35">
      <c r="A92" s="3" t="s">
        <v>15</v>
      </c>
      <c r="B92" s="23">
        <f t="shared" si="1"/>
        <v>3010</v>
      </c>
      <c r="C92" s="25">
        <f t="shared" si="1"/>
        <v>3312.0833333333335</v>
      </c>
      <c r="D92" s="26" t="str">
        <f t="shared" si="2"/>
        <v/>
      </c>
      <c r="E92" s="26"/>
      <c r="F92" s="26"/>
      <c r="G92" s="26"/>
    </row>
    <row r="93" spans="1:8" x14ac:dyDescent="0.35">
      <c r="A93" s="3" t="s">
        <v>16</v>
      </c>
      <c r="B93" s="23">
        <f t="shared" si="1"/>
        <v>2734</v>
      </c>
      <c r="C93" s="25">
        <f t="shared" si="1"/>
        <v>3308.0416666666665</v>
      </c>
      <c r="D93" s="26" t="str">
        <f t="shared" si="2"/>
        <v/>
      </c>
      <c r="E93" s="26"/>
      <c r="F93" s="26"/>
      <c r="G93" s="26"/>
    </row>
    <row r="94" spans="1:8" x14ac:dyDescent="0.35">
      <c r="A94" s="3" t="s">
        <v>17</v>
      </c>
      <c r="B94" s="23">
        <f t="shared" si="1"/>
        <v>3015</v>
      </c>
      <c r="C94" s="25">
        <f t="shared" si="1"/>
        <v>3311.7083333333335</v>
      </c>
      <c r="D94" s="26" t="str">
        <f t="shared" si="2"/>
        <v/>
      </c>
      <c r="E94" s="26"/>
      <c r="F94" s="26"/>
      <c r="G94" s="26"/>
    </row>
    <row r="95" spans="1:8" x14ac:dyDescent="0.35">
      <c r="A95" s="3" t="s">
        <v>18</v>
      </c>
      <c r="B95" s="23">
        <f t="shared" si="1"/>
        <v>2979</v>
      </c>
      <c r="C95" s="25">
        <f t="shared" si="1"/>
        <v>3313.1666666666665</v>
      </c>
      <c r="D95" s="26" t="str">
        <f t="shared" si="2"/>
        <v/>
      </c>
      <c r="E95" s="26"/>
      <c r="F95" s="26"/>
      <c r="G95" s="26"/>
    </row>
    <row r="96" spans="1:8" x14ac:dyDescent="0.35">
      <c r="A96" s="3" t="s">
        <v>19</v>
      </c>
      <c r="B96" s="23">
        <f t="shared" si="1"/>
        <v>3443</v>
      </c>
      <c r="C96" s="25">
        <f t="shared" si="1"/>
        <v>3307.75</v>
      </c>
      <c r="D96" s="26" t="str">
        <f t="shared" si="2"/>
        <v/>
      </c>
      <c r="E96" s="26"/>
      <c r="F96" s="26"/>
      <c r="G96" s="26"/>
      <c r="H96" s="1"/>
    </row>
    <row r="97" spans="1:13" x14ac:dyDescent="0.35">
      <c r="A97" s="3" t="s">
        <v>20</v>
      </c>
      <c r="B97" s="23">
        <f t="shared" ref="B97:C112" si="3">B20</f>
        <v>3514</v>
      </c>
      <c r="C97" s="25">
        <f t="shared" si="3"/>
        <v>3292.4166666666665</v>
      </c>
      <c r="D97" s="26" t="str">
        <f t="shared" si="2"/>
        <v/>
      </c>
      <c r="E97" s="26"/>
      <c r="F97" s="26"/>
      <c r="G97" s="26"/>
    </row>
    <row r="98" spans="1:13" x14ac:dyDescent="0.35">
      <c r="A98" s="3" t="s">
        <v>21</v>
      </c>
      <c r="B98" s="23">
        <f t="shared" si="3"/>
        <v>3552</v>
      </c>
      <c r="C98" s="25">
        <f t="shared" si="3"/>
        <v>3281.0833333333335</v>
      </c>
      <c r="D98" s="26" t="str">
        <f t="shared" si="2"/>
        <v/>
      </c>
      <c r="E98" s="26"/>
      <c r="F98" s="26"/>
      <c r="G98" s="26"/>
    </row>
    <row r="99" spans="1:13" x14ac:dyDescent="0.35">
      <c r="A99" s="3" t="s">
        <v>22</v>
      </c>
      <c r="B99" s="23">
        <f t="shared" si="3"/>
        <v>3490</v>
      </c>
      <c r="C99" s="25">
        <f t="shared" si="3"/>
        <v>3270.2083333333335</v>
      </c>
      <c r="D99" s="26" t="str">
        <f t="shared" si="2"/>
        <v/>
      </c>
      <c r="E99" s="26"/>
      <c r="F99" s="26"/>
      <c r="G99" s="26"/>
    </row>
    <row r="100" spans="1:13" x14ac:dyDescent="0.35">
      <c r="A100" s="3" t="s">
        <v>23</v>
      </c>
      <c r="B100" s="23">
        <f t="shared" si="3"/>
        <v>3579</v>
      </c>
      <c r="C100" s="25">
        <f t="shared" si="3"/>
        <v>3259.4583333333335</v>
      </c>
      <c r="D100" s="26" t="str">
        <f t="shared" si="2"/>
        <v/>
      </c>
      <c r="E100" s="26"/>
      <c r="F100" s="26"/>
      <c r="G100" s="26"/>
    </row>
    <row r="101" spans="1:13" x14ac:dyDescent="0.35">
      <c r="A101" s="3" t="s">
        <v>24</v>
      </c>
      <c r="B101" s="23">
        <f t="shared" si="3"/>
        <v>3657</v>
      </c>
      <c r="C101" s="25">
        <f t="shared" si="3"/>
        <v>3261.1666666666665</v>
      </c>
      <c r="D101" s="26" t="str">
        <f t="shared" si="2"/>
        <v/>
      </c>
      <c r="E101" s="26"/>
      <c r="F101" s="26"/>
      <c r="G101" s="26"/>
    </row>
    <row r="102" spans="1:13" x14ac:dyDescent="0.35">
      <c r="A102" s="3" t="s">
        <v>25</v>
      </c>
      <c r="B102" s="23">
        <f t="shared" si="3"/>
        <v>3250</v>
      </c>
      <c r="C102" s="25">
        <f t="shared" si="3"/>
        <v>3264.25</v>
      </c>
      <c r="D102" s="26" t="str">
        <f t="shared" si="2"/>
        <v/>
      </c>
      <c r="E102" s="26"/>
      <c r="F102" s="26"/>
      <c r="G102" s="26"/>
    </row>
    <row r="103" spans="1:13" x14ac:dyDescent="0.35">
      <c r="A103" s="3" t="s">
        <v>26</v>
      </c>
      <c r="B103" s="23">
        <f t="shared" si="3"/>
        <v>3181</v>
      </c>
      <c r="C103" s="25">
        <f t="shared" si="3"/>
        <v>3260.4583333333335</v>
      </c>
      <c r="D103" s="26" t="str">
        <f t="shared" si="2"/>
        <v/>
      </c>
      <c r="E103" s="26"/>
      <c r="F103" s="26"/>
      <c r="G103" s="26"/>
    </row>
    <row r="104" spans="1:13" x14ac:dyDescent="0.35">
      <c r="A104" s="3" t="s">
        <v>27</v>
      </c>
      <c r="B104" s="23">
        <f t="shared" si="3"/>
        <v>2948</v>
      </c>
      <c r="C104" s="25">
        <f t="shared" si="3"/>
        <v>3256.7083333333335</v>
      </c>
      <c r="D104" s="26" t="str">
        <f t="shared" si="2"/>
        <v/>
      </c>
      <c r="E104" s="26"/>
      <c r="F104" s="26"/>
      <c r="G104" s="26"/>
    </row>
    <row r="105" spans="1:13" x14ac:dyDescent="0.35">
      <c r="A105" s="3" t="s">
        <v>28</v>
      </c>
      <c r="B105" s="23">
        <f t="shared" si="3"/>
        <v>2535</v>
      </c>
      <c r="C105" s="25">
        <f t="shared" si="3"/>
        <v>3262.125</v>
      </c>
      <c r="D105" s="26" t="str">
        <f t="shared" si="2"/>
        <v/>
      </c>
      <c r="E105" s="26"/>
      <c r="F105" s="26"/>
      <c r="G105" s="26"/>
    </row>
    <row r="106" spans="1:13" x14ac:dyDescent="0.35">
      <c r="A106" s="3" t="s">
        <v>29</v>
      </c>
      <c r="B106" s="23">
        <f t="shared" si="3"/>
        <v>2956</v>
      </c>
      <c r="C106" s="25">
        <f t="shared" si="3"/>
        <v>3267.0833333333335</v>
      </c>
      <c r="D106" s="26" t="str">
        <f t="shared" si="2"/>
        <v/>
      </c>
      <c r="E106" s="26"/>
      <c r="F106" s="26"/>
      <c r="G106" s="26"/>
    </row>
    <row r="107" spans="1:13" x14ac:dyDescent="0.35">
      <c r="A107" s="3" t="s">
        <v>30</v>
      </c>
      <c r="B107" s="23">
        <f t="shared" si="3"/>
        <v>3079</v>
      </c>
      <c r="C107" s="25">
        <f t="shared" si="3"/>
        <v>3259.2916666666665</v>
      </c>
      <c r="D107" s="26" t="str">
        <f t="shared" si="2"/>
        <v/>
      </c>
      <c r="E107" s="26"/>
      <c r="F107" s="26"/>
      <c r="G107" s="26"/>
    </row>
    <row r="108" spans="1:13" x14ac:dyDescent="0.35">
      <c r="A108" s="3" t="s">
        <v>31</v>
      </c>
      <c r="B108" s="23">
        <f t="shared" si="3"/>
        <v>3417</v>
      </c>
      <c r="C108" s="25">
        <f t="shared" si="3"/>
        <v>3254</v>
      </c>
      <c r="D108" s="26" t="str">
        <f t="shared" si="2"/>
        <v/>
      </c>
      <c r="E108" s="26"/>
      <c r="F108" s="26"/>
      <c r="G108" s="26"/>
    </row>
    <row r="109" spans="1:13" x14ac:dyDescent="0.35">
      <c r="A109" s="3" t="s">
        <v>32</v>
      </c>
      <c r="B109" s="23">
        <f t="shared" si="3"/>
        <v>3449</v>
      </c>
      <c r="C109" s="25">
        <f t="shared" si="3"/>
        <v>3256.9583333333335</v>
      </c>
      <c r="D109" s="26" t="str">
        <f t="shared" si="2"/>
        <v/>
      </c>
      <c r="E109" s="26"/>
      <c r="F109" s="26"/>
      <c r="G109" s="26"/>
      <c r="H109" s="1"/>
      <c r="I109" s="1"/>
      <c r="J109" s="1"/>
      <c r="K109" s="1"/>
      <c r="L109" s="1"/>
      <c r="M109" s="1"/>
    </row>
    <row r="110" spans="1:13" x14ac:dyDescent="0.35">
      <c r="A110" s="3" t="s">
        <v>33</v>
      </c>
      <c r="B110" s="23">
        <f t="shared" si="3"/>
        <v>3527</v>
      </c>
      <c r="C110" s="25">
        <f t="shared" si="3"/>
        <v>3256.7083333333335</v>
      </c>
      <c r="D110" s="26" t="str">
        <f t="shared" si="2"/>
        <v/>
      </c>
      <c r="E110" s="26"/>
      <c r="F110" s="26"/>
      <c r="G110" s="26"/>
      <c r="H110" s="1"/>
      <c r="I110" s="1"/>
      <c r="J110" s="1"/>
      <c r="K110" s="1"/>
      <c r="L110" s="1"/>
      <c r="M110" s="1"/>
    </row>
    <row r="111" spans="1:13" x14ac:dyDescent="0.35">
      <c r="A111" s="3" t="s">
        <v>34</v>
      </c>
      <c r="B111" s="23">
        <f t="shared" si="3"/>
        <v>3645</v>
      </c>
      <c r="C111" s="25">
        <f t="shared" si="3"/>
        <v>3269</v>
      </c>
      <c r="D111" s="26" t="str">
        <f t="shared" si="2"/>
        <v/>
      </c>
      <c r="E111" s="26"/>
      <c r="F111" s="26"/>
      <c r="G111" s="26"/>
      <c r="H111" s="1"/>
      <c r="I111" s="1"/>
      <c r="J111" s="1"/>
      <c r="K111" s="1"/>
      <c r="L111" s="1"/>
      <c r="M111" s="1"/>
    </row>
    <row r="112" spans="1:13" x14ac:dyDescent="0.35">
      <c r="A112" s="3" t="s">
        <v>35</v>
      </c>
      <c r="B112" s="23">
        <f t="shared" si="3"/>
        <v>3543</v>
      </c>
      <c r="C112" s="25">
        <f t="shared" si="3"/>
        <v>3279.0833333333335</v>
      </c>
      <c r="D112" s="26" t="str">
        <f t="shared" si="2"/>
        <v/>
      </c>
      <c r="E112" s="26"/>
      <c r="F112" s="26"/>
      <c r="G112" s="26"/>
      <c r="H112" s="1"/>
      <c r="I112" s="1"/>
      <c r="J112" s="1"/>
      <c r="K112" s="1"/>
      <c r="L112" s="1"/>
      <c r="M112" s="1"/>
    </row>
    <row r="113" spans="1:14" x14ac:dyDescent="0.35">
      <c r="A113" s="3" t="s">
        <v>36</v>
      </c>
      <c r="B113" s="23">
        <f t="shared" ref="B113:C128" si="4">B36</f>
        <v>3506</v>
      </c>
      <c r="C113" s="25">
        <f t="shared" si="4"/>
        <v>3252.8333333333335</v>
      </c>
      <c r="D113" s="26" t="str">
        <f t="shared" si="2"/>
        <v/>
      </c>
      <c r="E113" s="26"/>
      <c r="F113" s="26"/>
      <c r="G113" s="26"/>
    </row>
    <row r="114" spans="1:14" x14ac:dyDescent="0.35">
      <c r="A114" s="3" t="s">
        <v>37</v>
      </c>
      <c r="B114" s="23">
        <f t="shared" si="4"/>
        <v>3274</v>
      </c>
      <c r="C114" s="25">
        <f t="shared" si="4"/>
        <v>3228.0416666666665</v>
      </c>
      <c r="D114" s="26" t="str">
        <f t="shared" si="2"/>
        <v/>
      </c>
      <c r="E114" s="26"/>
      <c r="F114" s="26"/>
      <c r="G114" s="26"/>
      <c r="H114" s="1"/>
      <c r="I114" s="1"/>
      <c r="J114" s="1"/>
      <c r="K114" s="1"/>
      <c r="L114" s="1"/>
      <c r="M114" s="1"/>
    </row>
    <row r="115" spans="1:14" x14ac:dyDescent="0.35">
      <c r="A115" s="3" t="s">
        <v>38</v>
      </c>
      <c r="B115" s="23">
        <f t="shared" si="4"/>
        <v>3228</v>
      </c>
      <c r="C115" s="25">
        <f t="shared" si="4"/>
        <v>3248.2083333333335</v>
      </c>
      <c r="D115" s="26" t="str">
        <f t="shared" si="2"/>
        <v/>
      </c>
      <c r="E115" s="26"/>
      <c r="F115" s="26"/>
      <c r="G115" s="26"/>
      <c r="H115" s="1"/>
      <c r="I115" s="1"/>
      <c r="J115" s="1"/>
      <c r="K115" s="1"/>
      <c r="L115" s="1"/>
      <c r="M115" s="1"/>
      <c r="N115" s="1"/>
    </row>
    <row r="116" spans="1:14" x14ac:dyDescent="0.35">
      <c r="A116" s="3" t="s">
        <v>39</v>
      </c>
      <c r="B116" s="23">
        <f t="shared" si="4"/>
        <v>2895</v>
      </c>
      <c r="C116" s="25">
        <f t="shared" si="4"/>
        <v>3294.2916666666665</v>
      </c>
      <c r="D116" s="26" t="str">
        <f t="shared" si="2"/>
        <v/>
      </c>
      <c r="E116" s="26"/>
      <c r="F116" s="26"/>
      <c r="G116" s="26"/>
    </row>
    <row r="117" spans="1:14" x14ac:dyDescent="0.35">
      <c r="A117" s="3" t="s">
        <v>40</v>
      </c>
      <c r="B117" s="23">
        <f t="shared" si="4"/>
        <v>2883</v>
      </c>
      <c r="C117" s="25">
        <f t="shared" si="4"/>
        <v>3340.3333333333335</v>
      </c>
      <c r="D117" s="26" t="str">
        <f t="shared" si="2"/>
        <v/>
      </c>
      <c r="E117" s="26"/>
      <c r="F117" s="26"/>
      <c r="G117" s="26"/>
    </row>
    <row r="118" spans="1:14" x14ac:dyDescent="0.35">
      <c r="A118" s="3" t="s">
        <v>41</v>
      </c>
      <c r="B118" s="23">
        <f t="shared" si="4"/>
        <v>2850</v>
      </c>
      <c r="C118" s="25">
        <f t="shared" si="4"/>
        <v>3384.6666666666665</v>
      </c>
      <c r="D118" s="26" t="str">
        <f t="shared" si="2"/>
        <v/>
      </c>
      <c r="E118" s="26"/>
      <c r="F118" s="26"/>
      <c r="G118" s="26"/>
    </row>
    <row r="119" spans="1:14" x14ac:dyDescent="0.35">
      <c r="A119" s="3" t="s">
        <v>42</v>
      </c>
      <c r="B119" s="23">
        <f t="shared" si="4"/>
        <v>2555</v>
      </c>
      <c r="C119" s="25">
        <f t="shared" si="4"/>
        <v>3433.5416666666665</v>
      </c>
      <c r="D119" s="26" t="str">
        <f t="shared" si="2"/>
        <v/>
      </c>
      <c r="E119" s="26"/>
      <c r="F119" s="26"/>
      <c r="G119" s="26"/>
    </row>
    <row r="120" spans="1:14" x14ac:dyDescent="0.35">
      <c r="A120" s="3" t="s">
        <v>43</v>
      </c>
      <c r="B120" s="23">
        <f t="shared" si="4"/>
        <v>3346</v>
      </c>
      <c r="C120" s="25">
        <f t="shared" si="4"/>
        <v>3481.2916666666665</v>
      </c>
      <c r="D120" s="26" t="str">
        <f t="shared" si="2"/>
        <v/>
      </c>
      <c r="E120" s="26"/>
      <c r="F120" s="26"/>
      <c r="G120" s="26"/>
    </row>
    <row r="121" spans="1:14" x14ac:dyDescent="0.35">
      <c r="A121" s="3" t="s">
        <v>44</v>
      </c>
      <c r="B121" s="23">
        <f t="shared" si="4"/>
        <v>4004</v>
      </c>
      <c r="C121" s="25">
        <f t="shared" si="4"/>
        <v>3514.8333333333335</v>
      </c>
      <c r="D121" s="26" t="str">
        <f t="shared" si="2"/>
        <v/>
      </c>
      <c r="E121" s="26"/>
      <c r="F121" s="26"/>
      <c r="G121" s="26"/>
    </row>
    <row r="122" spans="1:14" x14ac:dyDescent="0.35">
      <c r="A122" s="3" t="s">
        <v>45</v>
      </c>
      <c r="B122" s="23">
        <f t="shared" si="4"/>
        <v>4078</v>
      </c>
      <c r="C122" s="25">
        <f t="shared" si="4"/>
        <v>3549.875</v>
      </c>
      <c r="D122" s="26" t="str">
        <f t="shared" si="2"/>
        <v/>
      </c>
      <c r="E122" s="26"/>
      <c r="F122" s="26"/>
      <c r="G122" s="26"/>
    </row>
    <row r="123" spans="1:14" x14ac:dyDescent="0.35">
      <c r="A123" s="3" t="s">
        <v>46</v>
      </c>
      <c r="B123" s="23">
        <f t="shared" si="4"/>
        <v>4199</v>
      </c>
      <c r="C123" s="25">
        <f t="shared" si="4"/>
        <v>3567.7083333333335</v>
      </c>
      <c r="D123" s="26" t="str">
        <f t="shared" si="2"/>
        <v/>
      </c>
      <c r="E123" s="26"/>
      <c r="F123" s="26"/>
      <c r="G123" s="26"/>
    </row>
    <row r="124" spans="1:14" x14ac:dyDescent="0.35">
      <c r="A124" s="3" t="s">
        <v>47</v>
      </c>
      <c r="B124" s="23">
        <f t="shared" si="4"/>
        <v>4053</v>
      </c>
      <c r="C124" s="25">
        <f t="shared" si="4"/>
        <v>3590.6666666666665</v>
      </c>
      <c r="D124" s="26" t="str">
        <f t="shared" si="2"/>
        <v/>
      </c>
      <c r="E124" s="26"/>
      <c r="F124" s="26"/>
      <c r="G124" s="26"/>
    </row>
    <row r="125" spans="1:14" x14ac:dyDescent="0.35">
      <c r="A125" s="3" t="s">
        <v>48</v>
      </c>
      <c r="B125" s="23">
        <f t="shared" si="4"/>
        <v>4169</v>
      </c>
      <c r="C125" s="25">
        <f t="shared" si="4"/>
        <v>3672.125</v>
      </c>
      <c r="D125" s="26" t="str">
        <f t="shared" si="2"/>
        <v/>
      </c>
      <c r="E125" s="26"/>
      <c r="F125" s="26"/>
      <c r="G125" s="26"/>
    </row>
    <row r="126" spans="1:14" x14ac:dyDescent="0.35">
      <c r="A126" s="3" t="s">
        <v>49</v>
      </c>
      <c r="B126" s="23">
        <f t="shared" si="4"/>
        <v>3757</v>
      </c>
      <c r="C126" s="25">
        <f t="shared" si="4"/>
        <v>3758.1666666666665</v>
      </c>
      <c r="D126" s="26" t="str">
        <f t="shared" si="2"/>
        <v/>
      </c>
      <c r="E126" s="26"/>
      <c r="F126" s="26"/>
      <c r="G126" s="26"/>
    </row>
    <row r="127" spans="1:14" x14ac:dyDescent="0.35">
      <c r="A127" s="3" t="s">
        <v>50</v>
      </c>
      <c r="B127" s="23">
        <f t="shared" si="4"/>
        <v>3550</v>
      </c>
      <c r="C127" s="25">
        <f t="shared" si="4"/>
        <v>3793.7916666666665</v>
      </c>
      <c r="D127" s="26" t="str">
        <f t="shared" si="2"/>
        <v/>
      </c>
      <c r="E127" s="26"/>
      <c r="F127" s="26"/>
      <c r="G127" s="26"/>
    </row>
    <row r="128" spans="1:14" x14ac:dyDescent="0.35">
      <c r="A128" s="3" t="s">
        <v>51</v>
      </c>
      <c r="B128" s="23">
        <f t="shared" si="4"/>
        <v>3414</v>
      </c>
      <c r="C128" s="25">
        <f t="shared" si="4"/>
        <v>3804.8333333333335</v>
      </c>
      <c r="D128" s="26" t="str">
        <f t="shared" si="2"/>
        <v/>
      </c>
      <c r="E128" s="26"/>
      <c r="F128" s="26"/>
      <c r="G128" s="26"/>
    </row>
    <row r="129" spans="1:7" x14ac:dyDescent="0.35">
      <c r="A129" s="3" t="s">
        <v>52</v>
      </c>
      <c r="B129" s="23">
        <f t="shared" ref="B129:C139" si="5">B52</f>
        <v>2792</v>
      </c>
      <c r="C129" s="25">
        <f t="shared" si="5"/>
        <v>3816.625</v>
      </c>
      <c r="D129" s="26" t="str">
        <f t="shared" si="2"/>
        <v/>
      </c>
      <c r="E129" s="26"/>
      <c r="F129" s="26"/>
      <c r="G129" s="26"/>
    </row>
    <row r="130" spans="1:7" x14ac:dyDescent="0.35">
      <c r="A130" s="3" t="s">
        <v>53</v>
      </c>
      <c r="B130" s="23">
        <f t="shared" si="5"/>
        <v>3492</v>
      </c>
      <c r="C130" s="25">
        <f t="shared" si="5"/>
        <v>3830.9583333333335</v>
      </c>
      <c r="D130" s="26" t="str">
        <f t="shared" si="2"/>
        <v/>
      </c>
      <c r="E130" s="26"/>
      <c r="F130" s="26"/>
      <c r="G130" s="26"/>
    </row>
    <row r="131" spans="1:7" x14ac:dyDescent="0.35">
      <c r="A131" s="3" t="s">
        <v>54</v>
      </c>
      <c r="B131" s="23">
        <f t="shared" si="5"/>
        <v>3868</v>
      </c>
      <c r="C131" s="25">
        <f t="shared" si="5"/>
        <v>3853.2916666666665</v>
      </c>
      <c r="D131" s="26" t="str">
        <f t="shared" si="2"/>
        <v/>
      </c>
      <c r="E131" s="26"/>
      <c r="F131" s="26"/>
      <c r="G131" s="26"/>
    </row>
    <row r="132" spans="1:7" x14ac:dyDescent="0.35">
      <c r="A132" s="3" t="s">
        <v>55</v>
      </c>
      <c r="B132" s="23">
        <f t="shared" si="5"/>
        <v>4098</v>
      </c>
      <c r="C132" s="25">
        <f t="shared" si="5"/>
        <v>3875.5</v>
      </c>
      <c r="D132" s="26" t="str">
        <f t="shared" si="2"/>
        <v/>
      </c>
      <c r="E132" s="26"/>
      <c r="F132" s="26"/>
      <c r="G132" s="26"/>
    </row>
    <row r="133" spans="1:7" x14ac:dyDescent="0.35">
      <c r="A133" s="3" t="s">
        <v>56</v>
      </c>
      <c r="B133" s="23">
        <f t="shared" si="5"/>
        <v>4107</v>
      </c>
      <c r="C133" s="25">
        <f t="shared" si="5"/>
        <v>3899.8333333333335</v>
      </c>
      <c r="D133" s="26" t="str">
        <f t="shared" si="2"/>
        <v/>
      </c>
      <c r="E133" s="26"/>
      <c r="F133" s="26"/>
      <c r="G133" s="26"/>
    </row>
    <row r="134" spans="1:7" x14ac:dyDescent="0.35">
      <c r="A134" s="3" t="s">
        <v>57</v>
      </c>
      <c r="B134" s="23">
        <f t="shared" si="5"/>
        <v>4240</v>
      </c>
      <c r="C134" s="23" t="str">
        <f t="shared" si="5"/>
        <v>NA</v>
      </c>
      <c r="D134" s="26" t="str">
        <f t="shared" si="2"/>
        <v/>
      </c>
      <c r="E134" s="26"/>
      <c r="F134" s="26"/>
      <c r="G134" s="26"/>
    </row>
    <row r="135" spans="1:7" x14ac:dyDescent="0.35">
      <c r="A135" s="3" t="s">
        <v>58</v>
      </c>
      <c r="B135" s="23">
        <f t="shared" si="5"/>
        <v>4320</v>
      </c>
      <c r="C135" s="23" t="str">
        <f t="shared" si="5"/>
        <v>NA</v>
      </c>
      <c r="D135" s="26" t="str">
        <f t="shared" si="2"/>
        <v/>
      </c>
      <c r="E135" s="26"/>
      <c r="F135" s="26"/>
      <c r="G135" s="26"/>
    </row>
    <row r="136" spans="1:7" x14ac:dyDescent="0.35">
      <c r="A136" s="3" t="s">
        <v>59</v>
      </c>
      <c r="B136" s="23">
        <f t="shared" si="5"/>
        <v>4276</v>
      </c>
      <c r="C136" s="23" t="str">
        <f t="shared" si="5"/>
        <v>NA</v>
      </c>
      <c r="D136" s="26" t="str">
        <f t="shared" si="2"/>
        <v/>
      </c>
      <c r="E136" s="26"/>
      <c r="F136" s="26"/>
      <c r="G136" s="26"/>
    </row>
    <row r="137" spans="1:7" x14ac:dyDescent="0.35">
      <c r="A137" s="3" t="s">
        <v>60</v>
      </c>
      <c r="B137" s="23">
        <f t="shared" si="5"/>
        <v>4482</v>
      </c>
      <c r="C137" s="23" t="str">
        <f t="shared" si="5"/>
        <v>NA</v>
      </c>
      <c r="D137" s="26" t="str">
        <f t="shared" si="2"/>
        <v/>
      </c>
      <c r="E137" s="26"/>
      <c r="F137" s="26"/>
      <c r="G137" s="26"/>
    </row>
    <row r="138" spans="1:7" x14ac:dyDescent="0.35">
      <c r="A138" s="3" t="s">
        <v>61</v>
      </c>
      <c r="B138" s="23">
        <f t="shared" si="5"/>
        <v>3977</v>
      </c>
      <c r="C138" s="23" t="str">
        <f t="shared" si="5"/>
        <v>NA</v>
      </c>
      <c r="D138" s="26" t="str">
        <f t="shared" si="2"/>
        <v/>
      </c>
      <c r="E138" s="26"/>
      <c r="F138" s="26"/>
      <c r="G138" s="26"/>
    </row>
    <row r="139" spans="1:7" x14ac:dyDescent="0.35">
      <c r="A139" s="4" t="s">
        <v>62</v>
      </c>
      <c r="B139" s="28">
        <f t="shared" si="5"/>
        <v>3914</v>
      </c>
      <c r="C139" s="28" t="str">
        <f t="shared" si="5"/>
        <v>NA</v>
      </c>
      <c r="D139" s="26" t="str">
        <f t="shared" si="2"/>
        <v/>
      </c>
      <c r="E139" s="26"/>
      <c r="F139" s="26"/>
      <c r="G139" s="26"/>
    </row>
  </sheetData>
  <mergeCells count="4">
    <mergeCell ref="A78:G78"/>
    <mergeCell ref="A1:D1"/>
    <mergeCell ref="A66:M66"/>
    <mergeCell ref="N71:N72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E1B631-90B0-4D19-A35E-F8DC8BE167A4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1fb8133-dfcb-4ab3-83e1-bcafde3f766a"/>
    <ds:schemaRef ds:uri="ca1cba85-b018-40b2-9d9a-243cd5b6fae5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2026-09-24T17:20:06Z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  <property fmtid="{D5CDD505-2E9C-101B-9397-08002B2CF9AE}" pid="3" name="MSIP_Label_68711bd2-0ee9-46e2-b29d-55439e19cd24_Enabled">
    <vt:lpwstr>true</vt:lpwstr>
  </property>
  <property fmtid="{D5CDD505-2E9C-101B-9397-08002B2CF9AE}" pid="4" name="MSIP_Label_68711bd2-0ee9-46e2-b29d-55439e19cd24_SetDate">
    <vt:lpwstr>2025-09-25T19:54:43Z</vt:lpwstr>
  </property>
  <property fmtid="{D5CDD505-2E9C-101B-9397-08002B2CF9AE}" pid="5" name="MSIP_Label_68711bd2-0ee9-46e2-b29d-55439e19cd24_Method">
    <vt:lpwstr>Standard</vt:lpwstr>
  </property>
  <property fmtid="{D5CDD505-2E9C-101B-9397-08002B2CF9AE}" pid="6" name="MSIP_Label_68711bd2-0ee9-46e2-b29d-55439e19cd24_Name">
    <vt:lpwstr>defa4170-0d19-0005-0004-bc88714345d2</vt:lpwstr>
  </property>
  <property fmtid="{D5CDD505-2E9C-101B-9397-08002B2CF9AE}" pid="7" name="MSIP_Label_68711bd2-0ee9-46e2-b29d-55439e19cd24_SiteId">
    <vt:lpwstr>43d140ae-c5ca-429b-94be-48060dec7bfc</vt:lpwstr>
  </property>
  <property fmtid="{D5CDD505-2E9C-101B-9397-08002B2CF9AE}" pid="8" name="MSIP_Label_68711bd2-0ee9-46e2-b29d-55439e19cd24_ActionId">
    <vt:lpwstr>b68b6030-5548-49c9-ac2d-134bf5eb9b8d</vt:lpwstr>
  </property>
  <property fmtid="{D5CDD505-2E9C-101B-9397-08002B2CF9AE}" pid="9" name="MSIP_Label_68711bd2-0ee9-46e2-b29d-55439e19cd24_ContentBits">
    <vt:lpwstr>0</vt:lpwstr>
  </property>
  <property fmtid="{D5CDD505-2E9C-101B-9397-08002B2CF9AE}" pid="10" name="MSIP_Label_68711bd2-0ee9-46e2-b29d-55439e19cd24_Tag">
    <vt:lpwstr>10, 3, 0, 1</vt:lpwstr>
  </property>
</Properties>
</file>