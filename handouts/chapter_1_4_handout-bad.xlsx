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7AA3CA20-9290-4671-9BEC-F8466341FC90}" xr6:coauthVersionLast="47" xr6:coauthVersionMax="47" xr10:uidLastSave="{00000000-0000-0000-0000-000000000000}"/>
  <bookViews>
    <workbookView xWindow="-11055" yWindow="-16320" windowWidth="29040" windowHeight="15720" xr2:uid="{CB73943A-C465-40BE-817C-B9991112161C}"/>
  </bookViews>
  <sheets>
    <sheet name="Worksheet" sheetId="4" r:id="rId1"/>
    <sheet name="Ke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4" l="1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4" i="4"/>
  <c r="C134" i="4"/>
  <c r="B134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20" i="4"/>
  <c r="C120" i="4"/>
  <c r="B120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D106" i="4"/>
  <c r="C106" i="4"/>
  <c r="B106" i="4"/>
  <c r="D105" i="4"/>
  <c r="C105" i="4"/>
  <c r="B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E95" i="3" a="1"/>
  <c r="E95" i="3" s="1"/>
  <c r="E83" i="3" a="1"/>
  <c r="E83" i="3" s="1"/>
  <c r="C62" i="3"/>
  <c r="D62" i="3" s="1"/>
  <c r="C61" i="3"/>
  <c r="D61" i="3" s="1"/>
  <c r="C60" i="3"/>
  <c r="D60" i="3" s="1"/>
  <c r="C59" i="3"/>
  <c r="D59" i="3" s="1"/>
  <c r="C58" i="3"/>
  <c r="D58" i="3" s="1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N74" authorId="0" shapeId="0" xr:uid="{18F5386C-B8B0-4A3B-B555-EEDAC47A78D9}">
      <text>
        <r>
          <rPr>
            <sz val="10"/>
            <color indexed="81"/>
            <rFont val="Arial"/>
            <family val="2"/>
          </rPr>
          <t>Overall mean of these unadjusted monthly additive components</t>
        </r>
      </text>
    </comment>
    <comment ref="A76" authorId="0" shapeId="0" xr:uid="{B5282D43-F261-47F7-B348-76C70BFA2329}">
      <text>
        <r>
          <rPr>
            <sz val="10"/>
            <color indexed="81"/>
            <rFont val="Arial"/>
            <family val="2"/>
          </rPr>
          <t>Unadjusted monthly additive components</t>
        </r>
      </text>
    </comment>
    <comment ref="A77" authorId="0" shapeId="0" xr:uid="{FF6194AD-7221-4C03-BBB7-AB9D9EB841BB}">
      <text>
        <r>
          <rPr>
            <sz val="10"/>
            <color indexed="81"/>
            <rFont val="Arial"/>
            <family val="2"/>
          </rPr>
          <t>Seasonally adjusted mean for each month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<sst xmlns="http://schemas.openxmlformats.org/spreadsheetml/2006/main" count="329" uniqueCount="84">
  <si>
    <t>Month</t>
  </si>
  <si>
    <t xml:space="preserve">Deaths
</t>
  </si>
  <si>
    <t>Random</t>
  </si>
  <si>
    <t xml:space="preserve">Seasonally Adjusted
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</si>
  <si>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</si>
  <si>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</si>
  <si>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</si>
  <si>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</si>
  <si>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</si>
  <si>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</si>
  <si>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</si>
  <si>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</si>
  <si>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</si>
  <si>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</si>
  <si>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</si>
  <si>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</si>
  <si>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</si>
  <si>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</si>
  <si>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</si>
  <si>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</si>
  <si>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</si>
  <si>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</si>
  <si>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</si>
  <si>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</si>
  <si>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</si>
  <si>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</si>
  <si>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</si>
  <si>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</si>
  <si>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</si>
  <si>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</si>
  <si>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</si>
  <si>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</si>
  <si>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</si>
  <si>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</si>
  <si>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</si>
  <si>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</si>
  <si>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</si>
  <si>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</si>
  <si>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</si>
  <si>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</si>
  <si>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</si>
  <si>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</si>
  <si>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</si>
  <si>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</si>
  <si>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</si>
  <si>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</si>
  <si>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</si>
  <si>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</si>
  <si>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</si>
  <si>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</si>
  <si>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</si>
  <si>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</si>
  <si>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</si>
  <si>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</si>
  <si>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</si>
  <si>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</si>
  <si>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</si>
  <si>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</si>
  <si>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</si>
  <si>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</si>
  <si>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</si>
  <si>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</si>
  <si>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</si>
  <si>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</si>
  <si>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</si>
  <si>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</si>
  <si>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</si>
  <si>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</si>
  <si>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</si>
  <si>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</si>
  <si>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</si>
  <si>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</si>
  <si>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</si>
  <si>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</si>
  <si>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</si>
  <si>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</si>
  <si>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</si>
  <si>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</si>
  <si>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Overall
Mean</t>
  </si>
  <si>
    <t>NA</t>
  </si>
  <si>
    <t>Table 3: Computation of        the Random Component, and the Seasonally Adjusted Time Series</t>
  </si>
  <si>
    <t>Table 2: Computation of</t>
  </si>
  <si>
    <t>Table 1: Computation of the 
Centered Moving Average,      , and the Estimated Monthly Additive Effect,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</si>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</sst>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0" fontId="0" fillId="0" borderId="0" xfId="0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16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2" borderId="10" xfId="0" applyNumberFormat="1" applyFill="1" applyBorder="1"/>
    <xf numFmtId="164" fontId="0" fillId="0" borderId="11" xfId="0" applyNumberForma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3" borderId="13" xfId="0" applyFill="1" applyBorder="1"/>
    <xf numFmtId="0" fontId="0" fillId="3" borderId="14" xfId="0" applyFill="1" applyBorder="1"/>
    <xf numFmtId="0" fontId="0" fillId="3" borderId="10" xfId="0" applyFill="1" applyBorder="1" applyAlignment="1">
      <alignment vertical="top"/>
    </xf>
    <xf numFmtId="0" fontId="0" fillId="3" borderId="11" xfId="0" applyFill="1" applyBorder="1"/>
    <xf numFmtId="0" fontId="1" fillId="0" borderId="3" xfId="0" applyFon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10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4" fontId="0" fillId="4" borderId="15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295434</xdr:colOff>
      <xdr:row>81</xdr:row>
      <xdr:rowOff>205613</xdr:rowOff>
    </xdr:from>
    <xdr:ext cx="19607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B3DEA81-55F1-4702-8276-A311519B1232}"/>
                </a:ext>
              </a:extLst>
            </xdr:cNvPr>
            <xdr:cNvSpPr txBox="1"/>
          </xdr:nvSpPr>
          <xdr:spPr>
            <a:xfrm>
              <a:off x="1130459" y="153186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B3DEA81-55F1-4702-8276-A311519B1232}"/>
                </a:ext>
              </a:extLst>
            </xdr:cNvPr>
            <xdr:cNvSpPr txBox="1"/>
          </xdr:nvSpPr>
          <xdr:spPr>
            <a:xfrm>
              <a:off x="1130459" y="153186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295434</xdr:colOff>
      <xdr:row>81</xdr:row>
      <xdr:rowOff>137033</xdr:rowOff>
    </xdr:from>
    <xdr:ext cx="187167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94980A-636E-4E39-8AA7-2F4DE76F5880}"/>
                </a:ext>
              </a:extLst>
            </xdr:cNvPr>
            <xdr:cNvSpPr txBox="1"/>
          </xdr:nvSpPr>
          <xdr:spPr>
            <a:xfrm>
              <a:off x="1968659" y="1525638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94980A-636E-4E39-8AA7-2F4DE76F5880}"/>
                </a:ext>
              </a:extLst>
            </xdr:cNvPr>
            <xdr:cNvSpPr txBox="1"/>
          </xdr:nvSpPr>
          <xdr:spPr>
            <a:xfrm>
              <a:off x="1968659" y="1525638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341154</xdr:colOff>
      <xdr:row>81</xdr:row>
      <xdr:rowOff>137033</xdr:rowOff>
    </xdr:from>
    <xdr:ext cx="120161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77FE28F-B834-4902-968F-E020820EE6E2}"/>
                </a:ext>
              </a:extLst>
            </xdr:cNvPr>
            <xdr:cNvSpPr txBox="1"/>
          </xdr:nvSpPr>
          <xdr:spPr>
            <a:xfrm>
              <a:off x="2865279" y="1525638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77FE28F-B834-4902-968F-E020820EE6E2}"/>
                </a:ext>
              </a:extLst>
            </xdr:cNvPr>
            <xdr:cNvSpPr txBox="1"/>
          </xdr:nvSpPr>
          <xdr:spPr>
            <a:xfrm>
              <a:off x="2865279" y="1525638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81</xdr:row>
      <xdr:rowOff>110490</xdr:rowOff>
    </xdr:from>
    <xdr:ext cx="120161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6095401-4B9C-4849-9099-1A14DC3385C9}"/>
                </a:ext>
              </a:extLst>
            </xdr:cNvPr>
            <xdr:cNvSpPr txBox="1"/>
          </xdr:nvSpPr>
          <xdr:spPr>
            <a:xfrm>
              <a:off x="3622040" y="1522349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6095401-4B9C-4849-9099-1A14DC3385C9}"/>
                </a:ext>
              </a:extLst>
            </xdr:cNvPr>
            <xdr:cNvSpPr txBox="1"/>
          </xdr:nvSpPr>
          <xdr:spPr>
            <a:xfrm>
              <a:off x="3622040" y="1522349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569754</xdr:colOff>
      <xdr:row>81</xdr:row>
      <xdr:rowOff>205613</xdr:rowOff>
    </xdr:from>
    <xdr:ext cx="19607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DE311C-5ABA-434A-8D3B-BFA4CC85CAD1}"/>
                </a:ext>
              </a:extLst>
            </xdr:cNvPr>
            <xdr:cNvSpPr txBox="1"/>
          </xdr:nvSpPr>
          <xdr:spPr>
            <a:xfrm>
              <a:off x="5437029" y="153186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DE311C-5ABA-434A-8D3B-BFA4CC85CAD1}"/>
                </a:ext>
              </a:extLst>
            </xdr:cNvPr>
            <xdr:cNvSpPr txBox="1"/>
          </xdr:nvSpPr>
          <xdr:spPr>
            <a:xfrm>
              <a:off x="5437029" y="153186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117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674900-A901-4719-9C42-DC323ADFAFEC}"/>
            </a:ext>
          </a:extLst>
        </xdr:cNvPr>
        <xdr:cNvSpPr txBox="1"/>
      </xdr:nvSpPr>
      <xdr:spPr>
        <a:xfrm>
          <a:off x="228600" y="220287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E076BA8-EE4F-4FAD-A466-4A45EBEE0FFC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E076BA8-EE4F-4FAD-A466-4A45EBEE0FFC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187167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61F94EE-8DF4-4275-9115-5AC6951AD289}"/>
                </a:ext>
              </a:extLst>
            </xdr:cNvPr>
            <xdr:cNvSpPr txBox="1"/>
          </xdr:nvSpPr>
          <xdr:spPr>
            <a:xfrm>
              <a:off x="1990249" y="6678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61F94EE-8DF4-4275-9115-5AC6951AD289}"/>
                </a:ext>
              </a:extLst>
            </xdr:cNvPr>
            <xdr:cNvSpPr txBox="1"/>
          </xdr:nvSpPr>
          <xdr:spPr>
            <a:xfrm>
              <a:off x="1990249" y="6678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20161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4120106-8044-416B-AC26-8B0FDBAB4445}"/>
                </a:ext>
              </a:extLst>
            </xdr:cNvPr>
            <xdr:cNvSpPr txBox="1"/>
          </xdr:nvSpPr>
          <xdr:spPr>
            <a:xfrm>
              <a:off x="2811939" y="6678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4120106-8044-416B-AC26-8B0FDBAB4445}"/>
                </a:ext>
              </a:extLst>
            </xdr:cNvPr>
            <xdr:cNvSpPr txBox="1"/>
          </xdr:nvSpPr>
          <xdr:spPr>
            <a:xfrm>
              <a:off x="2811939" y="6678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76</xdr:row>
      <xdr:rowOff>3810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E95EF3-E61A-4789-8B4D-85E41EE1C17A}"/>
            </a:ext>
          </a:extLst>
        </xdr:cNvPr>
        <xdr:cNvSpPr txBox="1"/>
      </xdr:nvSpPr>
      <xdr:spPr>
        <a:xfrm>
          <a:off x="228600" y="139706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251460</xdr:colOff>
      <xdr:row>75</xdr:row>
      <xdr:rowOff>255270</xdr:rowOff>
    </xdr:from>
    <xdr:ext cx="3200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2B31CA8-48B0-4178-B89D-97A20733A6B0}"/>
                </a:ext>
              </a:extLst>
            </xdr:cNvPr>
            <xdr:cNvSpPr txBox="1"/>
          </xdr:nvSpPr>
          <xdr:spPr>
            <a:xfrm>
              <a:off x="254635" y="1395539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2B31CA8-48B0-4178-B89D-97A20733A6B0}"/>
                </a:ext>
              </a:extLst>
            </xdr:cNvPr>
            <xdr:cNvSpPr txBox="1"/>
          </xdr:nvSpPr>
          <xdr:spPr>
            <a:xfrm>
              <a:off x="254635" y="1395539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75</xdr:row>
      <xdr:rowOff>3810</xdr:rowOff>
    </xdr:from>
    <xdr:ext cx="180819" cy="2319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9DF5D1A-365A-4094-835A-F1BB029A0A72}"/>
                </a:ext>
              </a:extLst>
            </xdr:cNvPr>
            <xdr:cNvSpPr txBox="1"/>
          </xdr:nvSpPr>
          <xdr:spPr>
            <a:xfrm>
              <a:off x="381000" y="13703935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9DF5D1A-365A-4094-835A-F1BB029A0A72}"/>
                </a:ext>
              </a:extLst>
            </xdr:cNvPr>
            <xdr:cNvSpPr txBox="1"/>
          </xdr:nvSpPr>
          <xdr:spPr>
            <a:xfrm>
              <a:off x="381000" y="13703935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13</xdr:col>
      <xdr:colOff>449580</xdr:colOff>
      <xdr:row>73</xdr:row>
      <xdr:rowOff>95250</xdr:rowOff>
    </xdr:from>
    <xdr:ext cx="180819" cy="25090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F1073F2-C182-4E1D-B602-B6E62D71FB3A}"/>
                </a:ext>
              </a:extLst>
            </xdr:cNvPr>
            <xdr:cNvSpPr txBox="1"/>
          </xdr:nvSpPr>
          <xdr:spPr>
            <a:xfrm>
              <a:off x="10295255" y="13430250"/>
              <a:ext cx="180819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F1073F2-C182-4E1D-B602-B6E62D71FB3A}"/>
                </a:ext>
              </a:extLst>
            </xdr:cNvPr>
            <xdr:cNvSpPr txBox="1"/>
          </xdr:nvSpPr>
          <xdr:spPr>
            <a:xfrm>
              <a:off x="10295255" y="13430250"/>
              <a:ext cx="180819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205740</xdr:colOff>
      <xdr:row>80</xdr:row>
      <xdr:rowOff>102870</xdr:rowOff>
    </xdr:from>
    <xdr:ext cx="3200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AD21B8-2D51-4CF8-BD11-CEB3C2CC60D6}"/>
                </a:ext>
              </a:extLst>
            </xdr:cNvPr>
            <xdr:cNvSpPr txBox="1"/>
          </xdr:nvSpPr>
          <xdr:spPr>
            <a:xfrm>
              <a:off x="1878965" y="146697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AD21B8-2D51-4CF8-BD11-CEB3C2CC60D6}"/>
                </a:ext>
              </a:extLst>
            </xdr:cNvPr>
            <xdr:cNvSpPr txBox="1"/>
          </xdr:nvSpPr>
          <xdr:spPr>
            <a:xfrm>
              <a:off x="1878965" y="146697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891540</xdr:colOff>
      <xdr:row>68</xdr:row>
      <xdr:rowOff>118110</xdr:rowOff>
    </xdr:from>
    <xdr:ext cx="3200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3150AA8-46BB-4193-84E9-85D444A539F0}"/>
                </a:ext>
              </a:extLst>
            </xdr:cNvPr>
            <xdr:cNvSpPr txBox="1"/>
          </xdr:nvSpPr>
          <xdr:spPr>
            <a:xfrm>
              <a:off x="5755640" y="1229423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3150AA8-46BB-4193-84E9-85D444A539F0}"/>
                </a:ext>
              </a:extLst>
            </xdr:cNvPr>
            <xdr:cNvSpPr txBox="1"/>
          </xdr:nvSpPr>
          <xdr:spPr>
            <a:xfrm>
              <a:off x="5755640" y="1229423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243840</xdr:colOff>
      <xdr:row>105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2B8851-AA9D-4B58-AA04-78DC98D31C40}"/>
                </a:ext>
              </a:extLst>
            </xdr:cNvPr>
            <xdr:cNvSpPr txBox="1"/>
          </xdr:nvSpPr>
          <xdr:spPr>
            <a:xfrm>
              <a:off x="240665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2B8851-AA9D-4B58-AA04-78DC98D31C40}"/>
                </a:ext>
              </a:extLst>
            </xdr:cNvPr>
            <xdr:cNvSpPr txBox="1"/>
          </xdr:nvSpPr>
          <xdr:spPr>
            <a:xfrm>
              <a:off x="240665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358140</xdr:colOff>
      <xdr:row>105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D67D99B-46B0-4792-8FAB-B1D609BAEA53}"/>
                </a:ext>
              </a:extLst>
            </xdr:cNvPr>
            <xdr:cNvSpPr txBox="1"/>
          </xdr:nvSpPr>
          <xdr:spPr>
            <a:xfrm>
              <a:off x="1193165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D67D99B-46B0-4792-8FAB-B1D609BAEA53}"/>
                </a:ext>
              </a:extLst>
            </xdr:cNvPr>
            <xdr:cNvSpPr txBox="1"/>
          </xdr:nvSpPr>
          <xdr:spPr>
            <a:xfrm>
              <a:off x="1193165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388620</xdr:colOff>
      <xdr:row>106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FB2CC58-885A-4A7E-8555-85E866F6B1A2}"/>
                </a:ext>
              </a:extLst>
            </xdr:cNvPr>
            <xdr:cNvSpPr txBox="1"/>
          </xdr:nvSpPr>
          <xdr:spPr>
            <a:xfrm>
              <a:off x="2068195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FB2CC58-885A-4A7E-8555-85E866F6B1A2}"/>
                </a:ext>
              </a:extLst>
            </xdr:cNvPr>
            <xdr:cNvSpPr txBox="1"/>
          </xdr:nvSpPr>
          <xdr:spPr>
            <a:xfrm>
              <a:off x="2068195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350520</xdr:colOff>
      <xdr:row>106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A4A6F70-579C-41E2-B6D5-C4D55C582DB3}"/>
                </a:ext>
              </a:extLst>
            </xdr:cNvPr>
            <xdr:cNvSpPr txBox="1"/>
          </xdr:nvSpPr>
          <xdr:spPr>
            <a:xfrm>
              <a:off x="287782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A4A6F70-579C-41E2-B6D5-C4D55C582DB3}"/>
                </a:ext>
              </a:extLst>
            </xdr:cNvPr>
            <xdr:cNvSpPr txBox="1"/>
          </xdr:nvSpPr>
          <xdr:spPr>
            <a:xfrm>
              <a:off x="287782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358140</xdr:colOff>
      <xdr:row>105</xdr:row>
      <xdr:rowOff>179070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26D6220-64CB-4210-B8DD-37EC7835B72E}"/>
                </a:ext>
              </a:extLst>
            </xdr:cNvPr>
            <xdr:cNvSpPr txBox="1"/>
          </xdr:nvSpPr>
          <xdr:spPr>
            <a:xfrm>
              <a:off x="3660140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26D6220-64CB-4210-B8DD-37EC7835B72E}"/>
                </a:ext>
              </a:extLst>
            </xdr:cNvPr>
            <xdr:cNvSpPr txBox="1"/>
          </xdr:nvSpPr>
          <xdr:spPr>
            <a:xfrm>
              <a:off x="3660140" y="1993709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350520</xdr:colOff>
      <xdr:row>106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A8966A4-33F8-4C50-9315-38D0A97B7DB2}"/>
                </a:ext>
              </a:extLst>
            </xdr:cNvPr>
            <xdr:cNvSpPr txBox="1"/>
          </xdr:nvSpPr>
          <xdr:spPr>
            <a:xfrm>
              <a:off x="443992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A8966A4-33F8-4C50-9315-38D0A97B7DB2}"/>
                </a:ext>
              </a:extLst>
            </xdr:cNvPr>
            <xdr:cNvSpPr txBox="1"/>
          </xdr:nvSpPr>
          <xdr:spPr>
            <a:xfrm>
              <a:off x="443992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601980</xdr:colOff>
      <xdr:row>106</xdr:row>
      <xdr:rowOff>3810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71DB84B-50A8-4C6B-9108-2EA85BCA782D}"/>
                </a:ext>
              </a:extLst>
            </xdr:cNvPr>
            <xdr:cNvSpPr txBox="1"/>
          </xdr:nvSpPr>
          <xdr:spPr>
            <a:xfrm>
              <a:off x="546608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71DB84B-50A8-4C6B-9108-2EA85BCA782D}"/>
                </a:ext>
              </a:extLst>
            </xdr:cNvPr>
            <xdr:cNvSpPr txBox="1"/>
          </xdr:nvSpPr>
          <xdr:spPr>
            <a:xfrm>
              <a:off x="5466080" y="199428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104934</xdr:colOff>
      <xdr:row>0</xdr:row>
      <xdr:rowOff>197993</xdr:rowOff>
    </xdr:from>
    <xdr:ext cx="187167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CD32B5D-11DF-4420-A75A-D5BB098294D4}"/>
                </a:ext>
              </a:extLst>
            </xdr:cNvPr>
            <xdr:cNvSpPr txBox="1"/>
          </xdr:nvSpPr>
          <xdr:spPr>
            <a:xfrm>
              <a:off x="1778159" y="201168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CD32B5D-11DF-4420-A75A-D5BB098294D4}"/>
                </a:ext>
              </a:extLst>
            </xdr:cNvPr>
            <xdr:cNvSpPr txBox="1"/>
          </xdr:nvSpPr>
          <xdr:spPr>
            <a:xfrm>
              <a:off x="1778159" y="201168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714534</xdr:colOff>
      <xdr:row>0</xdr:row>
      <xdr:rowOff>388493</xdr:rowOff>
    </xdr:from>
    <xdr:ext cx="120161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D5DE476-CB0C-41D9-8DDA-F1A98C37B0C3}"/>
                </a:ext>
              </a:extLst>
            </xdr:cNvPr>
            <xdr:cNvSpPr txBox="1"/>
          </xdr:nvSpPr>
          <xdr:spPr>
            <a:xfrm>
              <a:off x="2387759" y="391668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D5DE476-CB0C-41D9-8DDA-F1A98C37B0C3}"/>
                </a:ext>
              </a:extLst>
            </xdr:cNvPr>
            <xdr:cNvSpPr txBox="1"/>
          </xdr:nvSpPr>
          <xdr:spPr>
            <a:xfrm>
              <a:off x="2387759" y="391668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251460</xdr:colOff>
      <xdr:row>75</xdr:row>
      <xdr:rowOff>255270</xdr:rowOff>
    </xdr:from>
    <xdr:ext cx="320040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317C8B0-1E07-47E3-B0FC-2815E87DBA31}"/>
                </a:ext>
              </a:extLst>
            </xdr:cNvPr>
            <xdr:cNvSpPr txBox="1"/>
          </xdr:nvSpPr>
          <xdr:spPr>
            <a:xfrm>
              <a:off x="254635" y="1467929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317C8B0-1E07-47E3-B0FC-2815E87DBA31}"/>
                </a:ext>
              </a:extLst>
            </xdr:cNvPr>
            <xdr:cNvSpPr txBox="1"/>
          </xdr:nvSpPr>
          <xdr:spPr>
            <a:xfrm>
              <a:off x="254635" y="1467929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75</xdr:row>
      <xdr:rowOff>3810</xdr:rowOff>
    </xdr:from>
    <xdr:ext cx="180819" cy="2319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E7136F7-2886-416A-B06C-650839C860E3}"/>
                </a:ext>
              </a:extLst>
            </xdr:cNvPr>
            <xdr:cNvSpPr txBox="1"/>
          </xdr:nvSpPr>
          <xdr:spPr>
            <a:xfrm>
              <a:off x="381000" y="14427835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E7136F7-2886-416A-B06C-650839C860E3}"/>
                </a:ext>
              </a:extLst>
            </xdr:cNvPr>
            <xdr:cNvSpPr txBox="1"/>
          </xdr:nvSpPr>
          <xdr:spPr>
            <a:xfrm>
              <a:off x="381000" y="14427835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281A-D3E3-410D-AB76-14F3C82B5E9F}">
  <dimension ref="A1:N142"/>
  <sheetViews>
    <sheetView tabSelected="1" topLeftCell="A59" zoomScaleNormal="100" workbookViewId="0">
      <selection activeCell="J82" sqref="J82"/>
    </sheetView>
  </sheetViews>
  <sheetFormatPr defaultRowHeight="14.5" x14ac:dyDescent="0.35"/>
  <cols>
    <col min="1" max="2" width="12" customWidth="1"/>
    <col min="3" max="3" width="12.1796875" bestFit="1" customWidth="1"/>
    <col min="4" max="6" width="11.1796875" bestFit="1" customWidth="1"/>
    <col min="7" max="7" width="18.90625" customWidth="1"/>
    <col min="14" max="14" width="9.6328125" customWidth="1"/>
  </cols>
  <sheetData>
    <row r="1" spans="1:4" ht="45.65" customHeight="1" x14ac:dyDescent="0.35">
      <c r="A1" s="36" t="s">
        <v>82</v>
      </c>
      <c r="B1" s="37"/>
      <c r="C1" s="37"/>
      <c r="D1" s="38"/>
    </row>
    <row r="2" spans="1:4" ht="29" x14ac:dyDescent="0.35">
      <c r="A2" s="15" t="s">
        <v>0</v>
      </c>
      <c r="B2" s="16" t="s">
        <v>1</v>
      </c>
      <c r="C2" s="17"/>
      <c r="D2" s="26"/>
    </row>
    <row r="3" spans="1:4" x14ac:dyDescent="0.35">
      <c r="A3" s="4" t="s">
        <v>4</v>
      </c>
      <c r="B3">
        <v>3034</v>
      </c>
      <c r="C3" t="s">
        <v>79</v>
      </c>
      <c r="D3" s="5" t="s">
        <v>79</v>
      </c>
    </row>
    <row r="4" spans="1:4" x14ac:dyDescent="0.35">
      <c r="A4" s="4" t="s">
        <v>5</v>
      </c>
      <c r="B4">
        <v>2748</v>
      </c>
      <c r="C4" t="s">
        <v>79</v>
      </c>
      <c r="D4" s="5" t="s">
        <v>79</v>
      </c>
    </row>
    <row r="5" spans="1:4" x14ac:dyDescent="0.35">
      <c r="A5" s="4" t="s">
        <v>6</v>
      </c>
      <c r="B5">
        <v>3164</v>
      </c>
      <c r="C5" t="s">
        <v>79</v>
      </c>
      <c r="D5" s="5" t="s">
        <v>79</v>
      </c>
    </row>
    <row r="6" spans="1:4" x14ac:dyDescent="0.35">
      <c r="A6" s="4" t="s">
        <v>7</v>
      </c>
      <c r="B6">
        <v>3238</v>
      </c>
      <c r="C6" t="s">
        <v>79</v>
      </c>
      <c r="D6" s="5" t="s">
        <v>79</v>
      </c>
    </row>
    <row r="7" spans="1:4" x14ac:dyDescent="0.35">
      <c r="A7" s="4" t="s">
        <v>8</v>
      </c>
      <c r="B7">
        <v>3416</v>
      </c>
      <c r="C7" t="s">
        <v>79</v>
      </c>
      <c r="D7" s="5" t="s">
        <v>79</v>
      </c>
    </row>
    <row r="8" spans="1:4" x14ac:dyDescent="0.35">
      <c r="A8" s="4" t="s">
        <v>9</v>
      </c>
      <c r="B8">
        <v>3492</v>
      </c>
      <c r="C8" t="s">
        <v>79</v>
      </c>
      <c r="D8" s="5" t="s">
        <v>79</v>
      </c>
    </row>
    <row r="9" spans="1:4" x14ac:dyDescent="0.35">
      <c r="A9" s="4" t="s">
        <v>10</v>
      </c>
      <c r="B9">
        <v>3730</v>
      </c>
      <c r="C9" s="1">
        <v>3351.5833333333335</v>
      </c>
      <c r="D9" s="39"/>
    </row>
    <row r="10" spans="1:4" x14ac:dyDescent="0.35">
      <c r="A10" s="4" t="s">
        <v>11</v>
      </c>
      <c r="B10">
        <v>3409</v>
      </c>
      <c r="C10" s="1">
        <v>3350</v>
      </c>
      <c r="D10" s="39"/>
    </row>
    <row r="11" spans="1:4" x14ac:dyDescent="0.35">
      <c r="A11" s="4" t="s">
        <v>12</v>
      </c>
      <c r="B11">
        <v>3572</v>
      </c>
      <c r="C11" s="1">
        <v>3343.2083333333335</v>
      </c>
      <c r="D11" s="39"/>
    </row>
    <row r="12" spans="1:4" x14ac:dyDescent="0.35">
      <c r="A12" s="4" t="s">
        <v>13</v>
      </c>
      <c r="B12">
        <v>3629</v>
      </c>
      <c r="C12" s="1">
        <v>3326.2083333333335</v>
      </c>
      <c r="D12" s="39"/>
    </row>
    <row r="13" spans="1:4" x14ac:dyDescent="0.35">
      <c r="A13" s="4" t="s">
        <v>14</v>
      </c>
      <c r="B13">
        <v>3408</v>
      </c>
      <c r="C13" s="1">
        <v>3316.5416666666665</v>
      </c>
      <c r="D13" s="39"/>
    </row>
    <row r="14" spans="1:4" x14ac:dyDescent="0.35">
      <c r="A14" s="4" t="s">
        <v>15</v>
      </c>
      <c r="B14">
        <v>3391</v>
      </c>
      <c r="C14" s="1">
        <v>3318.5833333333335</v>
      </c>
      <c r="D14" s="39"/>
    </row>
    <row r="15" spans="1:4" x14ac:dyDescent="0.35">
      <c r="A15" s="4" t="s">
        <v>16</v>
      </c>
      <c r="B15">
        <v>3010</v>
      </c>
      <c r="C15" s="1">
        <v>3312.0833333333335</v>
      </c>
      <c r="D15" s="39"/>
    </row>
    <row r="16" spans="1:4" x14ac:dyDescent="0.35">
      <c r="A16" s="4" t="s">
        <v>17</v>
      </c>
      <c r="B16">
        <v>2734</v>
      </c>
      <c r="C16" s="1">
        <v>3308.0416666666665</v>
      </c>
      <c r="D16" s="39"/>
    </row>
    <row r="17" spans="1:4" x14ac:dyDescent="0.35">
      <c r="A17" s="4" t="s">
        <v>18</v>
      </c>
      <c r="B17">
        <v>3015</v>
      </c>
      <c r="C17" s="1">
        <v>3311.7083333333335</v>
      </c>
      <c r="D17" s="8">
        <v>-296.70833333333348</v>
      </c>
    </row>
    <row r="18" spans="1:4" x14ac:dyDescent="0.35">
      <c r="A18" s="4" t="s">
        <v>19</v>
      </c>
      <c r="B18">
        <v>2979</v>
      </c>
      <c r="C18" s="1">
        <v>3313.1666666666665</v>
      </c>
      <c r="D18" s="8">
        <v>-334.16666666666652</v>
      </c>
    </row>
    <row r="19" spans="1:4" x14ac:dyDescent="0.35">
      <c r="A19" s="4" t="s">
        <v>20</v>
      </c>
      <c r="B19">
        <v>3443</v>
      </c>
      <c r="C19" s="1">
        <v>3307.75</v>
      </c>
      <c r="D19" s="8">
        <v>135.25</v>
      </c>
    </row>
    <row r="20" spans="1:4" x14ac:dyDescent="0.35">
      <c r="A20" s="4" t="s">
        <v>21</v>
      </c>
      <c r="B20">
        <v>3514</v>
      </c>
      <c r="C20" s="1">
        <v>3292.4166666666665</v>
      </c>
      <c r="D20" s="8">
        <v>221.58333333333348</v>
      </c>
    </row>
    <row r="21" spans="1:4" x14ac:dyDescent="0.35">
      <c r="A21" s="4" t="s">
        <v>22</v>
      </c>
      <c r="B21">
        <v>3552</v>
      </c>
      <c r="C21" s="1">
        <v>3281.0833333333335</v>
      </c>
      <c r="D21" s="8">
        <v>270.91666666666652</v>
      </c>
    </row>
    <row r="22" spans="1:4" x14ac:dyDescent="0.35">
      <c r="A22" s="4" t="s">
        <v>23</v>
      </c>
      <c r="B22">
        <v>3490</v>
      </c>
      <c r="C22" s="1">
        <v>3270.2083333333335</v>
      </c>
      <c r="D22" s="8">
        <v>219.79166666666652</v>
      </c>
    </row>
    <row r="23" spans="1:4" x14ac:dyDescent="0.35">
      <c r="A23" s="4" t="s">
        <v>24</v>
      </c>
      <c r="B23">
        <v>3579</v>
      </c>
      <c r="C23" s="1">
        <v>3259.4583333333335</v>
      </c>
      <c r="D23" s="8">
        <v>319.54166666666652</v>
      </c>
    </row>
    <row r="24" spans="1:4" x14ac:dyDescent="0.35">
      <c r="A24" s="4" t="s">
        <v>25</v>
      </c>
      <c r="B24">
        <v>3657</v>
      </c>
      <c r="C24" s="1">
        <v>3261.1666666666665</v>
      </c>
      <c r="D24" s="8">
        <v>395.83333333333348</v>
      </c>
    </row>
    <row r="25" spans="1:4" x14ac:dyDescent="0.35">
      <c r="A25" s="4" t="s">
        <v>26</v>
      </c>
      <c r="B25">
        <v>3250</v>
      </c>
      <c r="C25" s="1">
        <v>3264.25</v>
      </c>
      <c r="D25" s="8">
        <v>-14.25</v>
      </c>
    </row>
    <row r="26" spans="1:4" x14ac:dyDescent="0.35">
      <c r="A26" s="4" t="s">
        <v>27</v>
      </c>
      <c r="B26">
        <v>3181</v>
      </c>
      <c r="C26" s="1">
        <v>3260.4583333333335</v>
      </c>
      <c r="D26" s="8">
        <v>-79.458333333333485</v>
      </c>
    </row>
    <row r="27" spans="1:4" x14ac:dyDescent="0.35">
      <c r="A27" s="4" t="s">
        <v>28</v>
      </c>
      <c r="B27">
        <v>2948</v>
      </c>
      <c r="C27" s="1">
        <v>3256.7083333333335</v>
      </c>
      <c r="D27" s="8">
        <v>-308.70833333333348</v>
      </c>
    </row>
    <row r="28" spans="1:4" x14ac:dyDescent="0.35">
      <c r="A28" s="4" t="s">
        <v>29</v>
      </c>
      <c r="B28">
        <v>2535</v>
      </c>
      <c r="C28" s="1">
        <v>3262.125</v>
      </c>
      <c r="D28" s="8">
        <v>-727.125</v>
      </c>
    </row>
    <row r="29" spans="1:4" x14ac:dyDescent="0.35">
      <c r="A29" s="4" t="s">
        <v>30</v>
      </c>
      <c r="B29">
        <v>2956</v>
      </c>
      <c r="C29" s="1">
        <v>3267.0833333333335</v>
      </c>
      <c r="D29" s="8">
        <v>-311.08333333333348</v>
      </c>
    </row>
    <row r="30" spans="1:4" x14ac:dyDescent="0.35">
      <c r="A30" s="4" t="s">
        <v>31</v>
      </c>
      <c r="B30">
        <v>3079</v>
      </c>
      <c r="C30" s="1">
        <v>3259.2916666666665</v>
      </c>
      <c r="D30" s="8">
        <v>-180.29166666666652</v>
      </c>
    </row>
    <row r="31" spans="1:4" x14ac:dyDescent="0.35">
      <c r="A31" s="4" t="s">
        <v>32</v>
      </c>
      <c r="B31">
        <v>3417</v>
      </c>
      <c r="C31" s="1">
        <v>3254</v>
      </c>
      <c r="D31" s="8">
        <v>163</v>
      </c>
    </row>
    <row r="32" spans="1:4" x14ac:dyDescent="0.35">
      <c r="A32" s="4" t="s">
        <v>33</v>
      </c>
      <c r="B32">
        <v>3449</v>
      </c>
      <c r="C32" s="1">
        <v>3256.9583333333335</v>
      </c>
      <c r="D32" s="8">
        <v>192.04166666666652</v>
      </c>
    </row>
    <row r="33" spans="1:4" x14ac:dyDescent="0.35">
      <c r="A33" s="4" t="s">
        <v>34</v>
      </c>
      <c r="B33">
        <v>3527</v>
      </c>
      <c r="C33" s="1">
        <v>3256.7083333333335</v>
      </c>
      <c r="D33" s="8">
        <v>270.29166666666652</v>
      </c>
    </row>
    <row r="34" spans="1:4" x14ac:dyDescent="0.35">
      <c r="A34" s="4" t="s">
        <v>35</v>
      </c>
      <c r="B34">
        <v>3645</v>
      </c>
      <c r="C34" s="1">
        <v>3269</v>
      </c>
      <c r="D34" s="8">
        <v>376</v>
      </c>
    </row>
    <row r="35" spans="1:4" x14ac:dyDescent="0.35">
      <c r="A35" s="4" t="s">
        <v>36</v>
      </c>
      <c r="B35">
        <v>3543</v>
      </c>
      <c r="C35" s="1">
        <v>3279.0833333333335</v>
      </c>
      <c r="D35" s="8">
        <v>263.91666666666652</v>
      </c>
    </row>
    <row r="36" spans="1:4" x14ac:dyDescent="0.35">
      <c r="A36" s="4" t="s">
        <v>37</v>
      </c>
      <c r="B36">
        <v>3506</v>
      </c>
      <c r="C36" s="1">
        <v>3252.8333333333335</v>
      </c>
      <c r="D36" s="8">
        <v>253.16666666666652</v>
      </c>
    </row>
    <row r="37" spans="1:4" x14ac:dyDescent="0.35">
      <c r="A37" s="4" t="s">
        <v>38</v>
      </c>
      <c r="B37">
        <v>3274</v>
      </c>
      <c r="C37" s="1">
        <v>3228.0416666666665</v>
      </c>
      <c r="D37" s="8">
        <v>45.958333333333485</v>
      </c>
    </row>
    <row r="38" spans="1:4" x14ac:dyDescent="0.35">
      <c r="A38" s="4" t="s">
        <v>39</v>
      </c>
      <c r="B38">
        <v>3228</v>
      </c>
      <c r="C38" s="1">
        <v>3248.2083333333335</v>
      </c>
      <c r="D38" s="8">
        <v>-20.208333333333485</v>
      </c>
    </row>
    <row r="39" spans="1:4" x14ac:dyDescent="0.35">
      <c r="A39" s="4" t="s">
        <v>40</v>
      </c>
      <c r="B39">
        <v>2895</v>
      </c>
      <c r="C39" s="1">
        <v>3294.2916666666665</v>
      </c>
      <c r="D39" s="8">
        <v>-399.29166666666652</v>
      </c>
    </row>
    <row r="40" spans="1:4" x14ac:dyDescent="0.35">
      <c r="A40" s="4" t="s">
        <v>41</v>
      </c>
      <c r="B40">
        <v>2883</v>
      </c>
      <c r="C40" s="1">
        <v>3340.3333333333335</v>
      </c>
      <c r="D40" s="8">
        <v>-457.33333333333348</v>
      </c>
    </row>
    <row r="41" spans="1:4" x14ac:dyDescent="0.35">
      <c r="A41" s="4" t="s">
        <v>42</v>
      </c>
      <c r="B41">
        <v>2850</v>
      </c>
      <c r="C41" s="1">
        <v>3384.6666666666665</v>
      </c>
      <c r="D41" s="8">
        <v>-534.66666666666652</v>
      </c>
    </row>
    <row r="42" spans="1:4" x14ac:dyDescent="0.35">
      <c r="A42" s="4" t="s">
        <v>43</v>
      </c>
      <c r="B42">
        <v>2555</v>
      </c>
      <c r="C42" s="1">
        <v>3433.5416666666665</v>
      </c>
      <c r="D42" s="8">
        <v>-878.54166666666652</v>
      </c>
    </row>
    <row r="43" spans="1:4" x14ac:dyDescent="0.35">
      <c r="A43" s="4" t="s">
        <v>44</v>
      </c>
      <c r="B43">
        <v>3346</v>
      </c>
      <c r="C43" s="1">
        <v>3481.2916666666665</v>
      </c>
      <c r="D43" s="8">
        <v>-135.29166666666652</v>
      </c>
    </row>
    <row r="44" spans="1:4" x14ac:dyDescent="0.35">
      <c r="A44" s="4" t="s">
        <v>45</v>
      </c>
      <c r="B44">
        <v>4004</v>
      </c>
      <c r="C44" s="1">
        <v>3514.8333333333335</v>
      </c>
      <c r="D44" s="8">
        <v>489.16666666666652</v>
      </c>
    </row>
    <row r="45" spans="1:4" x14ac:dyDescent="0.35">
      <c r="A45" s="4" t="s">
        <v>46</v>
      </c>
      <c r="B45">
        <v>4078</v>
      </c>
      <c r="C45" s="1">
        <v>3549.875</v>
      </c>
      <c r="D45" s="8">
        <v>528.125</v>
      </c>
    </row>
    <row r="46" spans="1:4" x14ac:dyDescent="0.35">
      <c r="A46" s="4" t="s">
        <v>47</v>
      </c>
      <c r="B46">
        <v>4199</v>
      </c>
      <c r="C46" s="1">
        <v>3567.7083333333335</v>
      </c>
      <c r="D46" s="8">
        <v>631.29166666666652</v>
      </c>
    </row>
    <row r="47" spans="1:4" x14ac:dyDescent="0.35">
      <c r="A47" s="4" t="s">
        <v>48</v>
      </c>
      <c r="B47">
        <v>4053</v>
      </c>
      <c r="C47" s="1">
        <v>3590.6666666666665</v>
      </c>
      <c r="D47" s="8">
        <v>462.33333333333348</v>
      </c>
    </row>
    <row r="48" spans="1:4" x14ac:dyDescent="0.35">
      <c r="A48" s="4" t="s">
        <v>49</v>
      </c>
      <c r="B48">
        <v>4169</v>
      </c>
      <c r="C48" s="1">
        <v>3672.125</v>
      </c>
      <c r="D48" s="8">
        <v>496.875</v>
      </c>
    </row>
    <row r="49" spans="1:4" x14ac:dyDescent="0.35">
      <c r="A49" s="4" t="s">
        <v>50</v>
      </c>
      <c r="B49">
        <v>3757</v>
      </c>
      <c r="C49" s="1">
        <v>3758.1666666666665</v>
      </c>
      <c r="D49" s="8">
        <v>-1.1666666666665151</v>
      </c>
    </row>
    <row r="50" spans="1:4" x14ac:dyDescent="0.35">
      <c r="A50" s="4" t="s">
        <v>51</v>
      </c>
      <c r="B50">
        <v>3550</v>
      </c>
      <c r="C50" s="1">
        <v>3793.7916666666665</v>
      </c>
      <c r="D50" s="8">
        <v>-243.79166666666652</v>
      </c>
    </row>
    <row r="51" spans="1:4" x14ac:dyDescent="0.35">
      <c r="A51" s="4" t="s">
        <v>52</v>
      </c>
      <c r="B51">
        <v>3414</v>
      </c>
      <c r="C51" s="1">
        <v>3804.8333333333335</v>
      </c>
      <c r="D51" s="8">
        <v>-390.83333333333348</v>
      </c>
    </row>
    <row r="52" spans="1:4" x14ac:dyDescent="0.35">
      <c r="A52" s="4" t="s">
        <v>53</v>
      </c>
      <c r="B52">
        <v>2792</v>
      </c>
      <c r="C52" s="1">
        <v>3816.625</v>
      </c>
      <c r="D52" s="8">
        <v>-1024.625</v>
      </c>
    </row>
    <row r="53" spans="1:4" x14ac:dyDescent="0.35">
      <c r="A53" s="4" t="s">
        <v>54</v>
      </c>
      <c r="B53">
        <v>3492</v>
      </c>
      <c r="C53" s="1">
        <v>3830.9583333333335</v>
      </c>
      <c r="D53" s="8">
        <v>-338.95833333333348</v>
      </c>
    </row>
    <row r="54" spans="1:4" x14ac:dyDescent="0.35">
      <c r="A54" s="4" t="s">
        <v>55</v>
      </c>
      <c r="B54">
        <v>3868</v>
      </c>
      <c r="C54" s="1">
        <v>3853.2916666666665</v>
      </c>
      <c r="D54" s="8">
        <v>14.708333333333485</v>
      </c>
    </row>
    <row r="55" spans="1:4" x14ac:dyDescent="0.35">
      <c r="A55" s="4" t="s">
        <v>56</v>
      </c>
      <c r="B55">
        <v>4098</v>
      </c>
      <c r="C55" s="1">
        <v>3875.5</v>
      </c>
      <c r="D55" s="8">
        <v>222.5</v>
      </c>
    </row>
    <row r="56" spans="1:4" x14ac:dyDescent="0.35">
      <c r="A56" s="4" t="s">
        <v>57</v>
      </c>
      <c r="B56">
        <v>4107</v>
      </c>
      <c r="C56" s="1">
        <v>3899.8333333333335</v>
      </c>
      <c r="D56" s="8">
        <v>207.16666666666652</v>
      </c>
    </row>
    <row r="57" spans="1:4" x14ac:dyDescent="0.35">
      <c r="A57" s="4" t="s">
        <v>58</v>
      </c>
      <c r="B57">
        <v>4240</v>
      </c>
      <c r="C57" t="s">
        <v>79</v>
      </c>
      <c r="D57" s="5" t="s">
        <v>79</v>
      </c>
    </row>
    <row r="58" spans="1:4" x14ac:dyDescent="0.35">
      <c r="A58" s="4" t="s">
        <v>59</v>
      </c>
      <c r="B58">
        <v>4320</v>
      </c>
      <c r="C58" t="s">
        <v>79</v>
      </c>
      <c r="D58" s="5" t="s">
        <v>79</v>
      </c>
    </row>
    <row r="59" spans="1:4" x14ac:dyDescent="0.35">
      <c r="A59" s="4" t="s">
        <v>60</v>
      </c>
      <c r="B59">
        <v>4276</v>
      </c>
      <c r="C59" t="s">
        <v>79</v>
      </c>
      <c r="D59" s="5" t="s">
        <v>79</v>
      </c>
    </row>
    <row r="60" spans="1:4" x14ac:dyDescent="0.35">
      <c r="A60" s="4" t="s">
        <v>61</v>
      </c>
      <c r="B60">
        <v>4482</v>
      </c>
      <c r="C60" t="s">
        <v>79</v>
      </c>
      <c r="D60" s="5" t="s">
        <v>79</v>
      </c>
    </row>
    <row r="61" spans="1:4" x14ac:dyDescent="0.35">
      <c r="A61" s="4" t="s">
        <v>62</v>
      </c>
      <c r="B61">
        <v>3977</v>
      </c>
      <c r="C61" t="s">
        <v>79</v>
      </c>
      <c r="D61" s="5" t="s">
        <v>79</v>
      </c>
    </row>
    <row r="62" spans="1:4" x14ac:dyDescent="0.35">
      <c r="A62" s="6" t="s">
        <v>63</v>
      </c>
      <c r="B62" s="13">
        <v>3914</v>
      </c>
      <c r="C62" s="13" t="s">
        <v>79</v>
      </c>
      <c r="D62" s="14" t="s">
        <v>79</v>
      </c>
    </row>
    <row r="69" spans="1:14" ht="34.75" customHeight="1" x14ac:dyDescent="0.35">
      <c r="A69" s="34" t="s">
        <v>81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"/>
    </row>
    <row r="70" spans="1:14" x14ac:dyDescent="0.35">
      <c r="A70" s="27" t="s">
        <v>64</v>
      </c>
      <c r="B70" s="22" t="s">
        <v>65</v>
      </c>
      <c r="C70" s="22" t="s">
        <v>66</v>
      </c>
      <c r="D70" s="22" t="s">
        <v>67</v>
      </c>
      <c r="E70" s="22" t="s">
        <v>68</v>
      </c>
      <c r="F70" s="22" t="s">
        <v>69</v>
      </c>
      <c r="G70" s="22" t="s">
        <v>70</v>
      </c>
      <c r="H70" s="22" t="s">
        <v>71</v>
      </c>
      <c r="I70" s="22" t="s">
        <v>72</v>
      </c>
      <c r="J70" s="22" t="s">
        <v>73</v>
      </c>
      <c r="K70" s="22" t="s">
        <v>74</v>
      </c>
      <c r="L70" s="22" t="s">
        <v>75</v>
      </c>
      <c r="M70" s="23" t="s">
        <v>76</v>
      </c>
      <c r="N70" s="9"/>
    </row>
    <row r="71" spans="1:14" x14ac:dyDescent="0.35">
      <c r="A71" s="28">
        <v>2017</v>
      </c>
      <c r="B71" t="s">
        <v>79</v>
      </c>
      <c r="C71" t="s">
        <v>79</v>
      </c>
      <c r="D71" t="s">
        <v>79</v>
      </c>
      <c r="E71" t="s">
        <v>79</v>
      </c>
      <c r="F71" t="s">
        <v>79</v>
      </c>
      <c r="G71" t="s">
        <v>79</v>
      </c>
      <c r="H71" s="39"/>
      <c r="I71" s="39"/>
      <c r="J71" s="39"/>
      <c r="K71" s="39"/>
      <c r="L71" s="39"/>
      <c r="M71" s="39"/>
      <c r="N71" s="10"/>
    </row>
    <row r="72" spans="1:14" x14ac:dyDescent="0.35">
      <c r="A72" s="28">
        <v>2018</v>
      </c>
      <c r="B72" s="39"/>
      <c r="C72" s="39"/>
      <c r="D72" s="1">
        <v>-296.70833333333348</v>
      </c>
      <c r="E72" s="1">
        <v>-334.16666666666652</v>
      </c>
      <c r="F72" s="1">
        <v>135.25</v>
      </c>
      <c r="G72" s="1">
        <v>221.58333333333348</v>
      </c>
      <c r="H72" s="1">
        <v>270.91666666666652</v>
      </c>
      <c r="I72" s="1">
        <v>219.79166666666652</v>
      </c>
      <c r="J72" s="1">
        <v>319.54166666666652</v>
      </c>
      <c r="K72" s="1">
        <v>395.83333333333348</v>
      </c>
      <c r="L72" s="1">
        <v>-14.25</v>
      </c>
      <c r="M72" s="8">
        <v>-79.458333333333485</v>
      </c>
      <c r="N72" s="10"/>
    </row>
    <row r="73" spans="1:14" x14ac:dyDescent="0.35">
      <c r="A73" s="28">
        <v>2019</v>
      </c>
      <c r="B73" s="1">
        <v>-308.70833333333348</v>
      </c>
      <c r="C73" s="1">
        <v>-727.125</v>
      </c>
      <c r="D73" s="1">
        <v>-311.08333333333348</v>
      </c>
      <c r="E73" s="1">
        <v>-180.29166666666652</v>
      </c>
      <c r="F73" s="1">
        <v>163</v>
      </c>
      <c r="G73" s="1">
        <v>192.04166666666652</v>
      </c>
      <c r="H73" s="1">
        <v>270.29166666666652</v>
      </c>
      <c r="I73" s="1">
        <v>376</v>
      </c>
      <c r="J73" s="1">
        <v>263.91666666666652</v>
      </c>
      <c r="K73" s="1">
        <v>253.16666666666652</v>
      </c>
      <c r="L73" s="1">
        <v>45.958333333333485</v>
      </c>
      <c r="M73" s="8">
        <v>-20.208333333333485</v>
      </c>
      <c r="N73" s="10"/>
    </row>
    <row r="74" spans="1:14" x14ac:dyDescent="0.35">
      <c r="A74" s="28">
        <v>2020</v>
      </c>
      <c r="B74" s="1">
        <v>-399.29166666666652</v>
      </c>
      <c r="C74" s="1">
        <v>-457.33333333333348</v>
      </c>
      <c r="D74" s="1">
        <v>-534.66666666666652</v>
      </c>
      <c r="E74" s="1">
        <v>-878.54166666666652</v>
      </c>
      <c r="F74" s="1">
        <v>-135.29166666666652</v>
      </c>
      <c r="G74" s="1">
        <v>489.16666666666652</v>
      </c>
      <c r="H74" s="1">
        <v>528.125</v>
      </c>
      <c r="I74" s="1">
        <v>631.29166666666652</v>
      </c>
      <c r="J74" s="1">
        <v>462.33333333333348</v>
      </c>
      <c r="K74" s="1">
        <v>496.875</v>
      </c>
      <c r="L74" s="1">
        <v>-1.1666666666665151</v>
      </c>
      <c r="M74" s="8">
        <v>-243.79166666666652</v>
      </c>
      <c r="N74" s="29" t="s">
        <v>78</v>
      </c>
    </row>
    <row r="75" spans="1:14" x14ac:dyDescent="0.35">
      <c r="A75" s="28">
        <v>2021</v>
      </c>
      <c r="B75" s="1">
        <v>-390.83333333333348</v>
      </c>
      <c r="C75" s="1">
        <v>-1024.625</v>
      </c>
      <c r="D75" s="1">
        <v>-338.95833333333348</v>
      </c>
      <c r="E75" s="1">
        <v>14.708333333333485</v>
      </c>
      <c r="F75" s="1">
        <v>222.5</v>
      </c>
      <c r="G75" s="1">
        <v>207.16666666666652</v>
      </c>
      <c r="H75" t="s">
        <v>79</v>
      </c>
      <c r="I75" t="s">
        <v>79</v>
      </c>
      <c r="J75" t="s">
        <v>79</v>
      </c>
      <c r="K75" t="s">
        <v>79</v>
      </c>
      <c r="L75" t="s">
        <v>79</v>
      </c>
      <c r="M75" s="5" t="s">
        <v>79</v>
      </c>
      <c r="N75" s="30"/>
    </row>
    <row r="76" spans="1:14" ht="21" customHeight="1" x14ac:dyDescent="0.35">
      <c r="A76" s="24" t="s">
        <v>77</v>
      </c>
      <c r="B76" s="1">
        <v>-350.22916666666674</v>
      </c>
      <c r="C76" s="1">
        <v>-695.78125</v>
      </c>
      <c r="D76" s="1">
        <v>-370.35416666666674</v>
      </c>
      <c r="E76" s="39"/>
      <c r="F76" s="39"/>
      <c r="G76" s="39"/>
      <c r="H76" s="39"/>
      <c r="I76" s="39"/>
      <c r="J76" s="39"/>
      <c r="K76" s="39"/>
      <c r="L76" s="39"/>
      <c r="M76" s="39"/>
      <c r="N76" s="11">
        <v>-5.0060763888889142</v>
      </c>
    </row>
    <row r="77" spans="1:14" ht="19.25" customHeight="1" x14ac:dyDescent="0.35">
      <c r="A77" s="25"/>
      <c r="B77" s="7">
        <v>-345.22309027777783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12"/>
    </row>
    <row r="81" spans="1:7" ht="43.75" customHeight="1" x14ac:dyDescent="0.45">
      <c r="A81" s="31" t="s">
        <v>80</v>
      </c>
      <c r="B81" s="32"/>
      <c r="C81" s="32"/>
      <c r="D81" s="32"/>
      <c r="E81" s="32"/>
      <c r="F81" s="32"/>
      <c r="G81" s="33"/>
    </row>
    <row r="82" spans="1:7" ht="37.75" customHeight="1" x14ac:dyDescent="0.35">
      <c r="A82" s="18" t="s">
        <v>0</v>
      </c>
      <c r="B82" s="19" t="s">
        <v>1</v>
      </c>
      <c r="C82" s="20"/>
      <c r="D82" s="20"/>
      <c r="E82" s="20"/>
      <c r="F82" s="20" t="s">
        <v>2</v>
      </c>
      <c r="G82" s="21" t="s">
        <v>3</v>
      </c>
    </row>
    <row r="83" spans="1:7" x14ac:dyDescent="0.35">
      <c r="A83" s="4" t="s">
        <v>4</v>
      </c>
      <c r="B83">
        <f>B3</f>
        <v>3034</v>
      </c>
      <c r="C83" t="str">
        <f t="shared" ref="C83:D83" si="0">C3</f>
        <v>NA</v>
      </c>
      <c r="D83" t="str">
        <f t="shared" si="0"/>
        <v>NA</v>
      </c>
      <c r="E83" s="39"/>
      <c r="F83" s="40" t="s">
        <v>79</v>
      </c>
      <c r="G83" s="39"/>
    </row>
    <row r="84" spans="1:7" x14ac:dyDescent="0.35">
      <c r="A84" s="4" t="s">
        <v>5</v>
      </c>
      <c r="B84">
        <f t="shared" ref="B84:D99" si="1">B4</f>
        <v>2748</v>
      </c>
      <c r="C84" t="str">
        <f t="shared" si="1"/>
        <v>NA</v>
      </c>
      <c r="D84" s="8" t="str">
        <f t="shared" si="1"/>
        <v>NA</v>
      </c>
      <c r="E84" s="39"/>
      <c r="F84" s="40" t="s">
        <v>79</v>
      </c>
      <c r="G84" s="39"/>
    </row>
    <row r="85" spans="1:7" x14ac:dyDescent="0.35">
      <c r="A85" s="4" t="s">
        <v>6</v>
      </c>
      <c r="B85">
        <f t="shared" si="1"/>
        <v>3164</v>
      </c>
      <c r="C85" t="str">
        <f t="shared" si="1"/>
        <v>NA</v>
      </c>
      <c r="D85" s="8" t="str">
        <f t="shared" si="1"/>
        <v>NA</v>
      </c>
      <c r="E85" s="39"/>
      <c r="F85" s="40" t="s">
        <v>79</v>
      </c>
      <c r="G85" s="39"/>
    </row>
    <row r="86" spans="1:7" x14ac:dyDescent="0.35">
      <c r="A86" s="4" t="s">
        <v>7</v>
      </c>
      <c r="B86">
        <f t="shared" si="1"/>
        <v>3238</v>
      </c>
      <c r="C86" t="str">
        <f t="shared" si="1"/>
        <v>NA</v>
      </c>
      <c r="D86" s="8" t="str">
        <f t="shared" si="1"/>
        <v>NA</v>
      </c>
      <c r="E86" s="39"/>
      <c r="F86" s="40" t="s">
        <v>79</v>
      </c>
      <c r="G86" s="39"/>
    </row>
    <row r="87" spans="1:7" x14ac:dyDescent="0.35">
      <c r="A87" s="4" t="s">
        <v>8</v>
      </c>
      <c r="B87">
        <f t="shared" si="1"/>
        <v>3416</v>
      </c>
      <c r="C87" t="str">
        <f t="shared" si="1"/>
        <v>NA</v>
      </c>
      <c r="D87" s="8" t="str">
        <f t="shared" si="1"/>
        <v>NA</v>
      </c>
      <c r="E87" s="39"/>
      <c r="F87" s="40" t="s">
        <v>79</v>
      </c>
      <c r="G87" s="39"/>
    </row>
    <row r="88" spans="1:7" x14ac:dyDescent="0.35">
      <c r="A88" s="4" t="s">
        <v>9</v>
      </c>
      <c r="B88">
        <f t="shared" si="1"/>
        <v>3492</v>
      </c>
      <c r="C88" t="str">
        <f t="shared" si="1"/>
        <v>NA</v>
      </c>
      <c r="D88" s="8" t="str">
        <f t="shared" si="1"/>
        <v>NA</v>
      </c>
      <c r="E88" s="39"/>
      <c r="F88" s="40" t="s">
        <v>79</v>
      </c>
      <c r="G88" s="39"/>
    </row>
    <row r="89" spans="1:7" x14ac:dyDescent="0.35">
      <c r="A89" s="4" t="s">
        <v>10</v>
      </c>
      <c r="B89">
        <f t="shared" si="1"/>
        <v>3730</v>
      </c>
      <c r="C89" s="1">
        <f t="shared" si="1"/>
        <v>3351.5833333333335</v>
      </c>
      <c r="D89" s="8">
        <f t="shared" si="1"/>
        <v>0</v>
      </c>
      <c r="E89" s="39"/>
      <c r="F89" s="39"/>
      <c r="G89" s="39"/>
    </row>
    <row r="90" spans="1:7" x14ac:dyDescent="0.35">
      <c r="A90" s="4" t="s">
        <v>11</v>
      </c>
      <c r="B90">
        <f t="shared" si="1"/>
        <v>3409</v>
      </c>
      <c r="C90" s="1">
        <f t="shared" si="1"/>
        <v>3350</v>
      </c>
      <c r="D90" s="8">
        <f t="shared" si="1"/>
        <v>0</v>
      </c>
      <c r="E90" s="39"/>
      <c r="F90" s="39"/>
      <c r="G90" s="39"/>
    </row>
    <row r="91" spans="1:7" x14ac:dyDescent="0.35">
      <c r="A91" s="4" t="s">
        <v>12</v>
      </c>
      <c r="B91">
        <f t="shared" si="1"/>
        <v>3572</v>
      </c>
      <c r="C91" s="1">
        <f t="shared" si="1"/>
        <v>3343.2083333333335</v>
      </c>
      <c r="D91" s="8">
        <f t="shared" si="1"/>
        <v>0</v>
      </c>
      <c r="E91" s="39"/>
      <c r="F91" s="39"/>
      <c r="G91" s="39"/>
    </row>
    <row r="92" spans="1:7" x14ac:dyDescent="0.35">
      <c r="A92" s="4" t="s">
        <v>13</v>
      </c>
      <c r="B92">
        <f t="shared" si="1"/>
        <v>3629</v>
      </c>
      <c r="C92" s="1">
        <f t="shared" si="1"/>
        <v>3326.2083333333335</v>
      </c>
      <c r="D92" s="8">
        <f t="shared" si="1"/>
        <v>0</v>
      </c>
      <c r="E92" s="39"/>
      <c r="F92" s="39"/>
      <c r="G92" s="39"/>
    </row>
    <row r="93" spans="1:7" x14ac:dyDescent="0.35">
      <c r="A93" s="4" t="s">
        <v>14</v>
      </c>
      <c r="B93">
        <f t="shared" si="1"/>
        <v>3408</v>
      </c>
      <c r="C93" s="1">
        <f t="shared" si="1"/>
        <v>3316.5416666666665</v>
      </c>
      <c r="D93" s="8">
        <f t="shared" si="1"/>
        <v>0</v>
      </c>
      <c r="E93" s="39"/>
      <c r="F93" s="39"/>
      <c r="G93" s="39"/>
    </row>
    <row r="94" spans="1:7" x14ac:dyDescent="0.35">
      <c r="A94" s="4" t="s">
        <v>15</v>
      </c>
      <c r="B94">
        <f t="shared" si="1"/>
        <v>3391</v>
      </c>
      <c r="C94" s="1">
        <f t="shared" si="1"/>
        <v>3318.5833333333335</v>
      </c>
      <c r="D94" s="8">
        <f t="shared" si="1"/>
        <v>0</v>
      </c>
      <c r="E94" s="39"/>
      <c r="F94" s="39"/>
      <c r="G94" s="39"/>
    </row>
    <row r="95" spans="1:7" x14ac:dyDescent="0.35">
      <c r="A95" s="4" t="s">
        <v>16</v>
      </c>
      <c r="B95">
        <f t="shared" si="1"/>
        <v>3010</v>
      </c>
      <c r="C95" s="1">
        <f t="shared" si="1"/>
        <v>3312.0833333333335</v>
      </c>
      <c r="D95" s="8">
        <f t="shared" si="1"/>
        <v>0</v>
      </c>
      <c r="E95" s="39"/>
      <c r="F95" s="39"/>
      <c r="G95" s="39"/>
    </row>
    <row r="96" spans="1:7" x14ac:dyDescent="0.35">
      <c r="A96" s="4" t="s">
        <v>17</v>
      </c>
      <c r="B96">
        <f t="shared" si="1"/>
        <v>2734</v>
      </c>
      <c r="C96" s="1">
        <f t="shared" si="1"/>
        <v>3308.0416666666665</v>
      </c>
      <c r="D96" s="8">
        <f t="shared" si="1"/>
        <v>0</v>
      </c>
      <c r="E96" s="39"/>
      <c r="F96" s="39"/>
      <c r="G96" s="39"/>
    </row>
    <row r="97" spans="1:13" x14ac:dyDescent="0.35">
      <c r="A97" s="4" t="s">
        <v>18</v>
      </c>
      <c r="B97">
        <f t="shared" si="1"/>
        <v>3015</v>
      </c>
      <c r="C97" s="1">
        <f t="shared" si="1"/>
        <v>3311.7083333333335</v>
      </c>
      <c r="D97" s="8">
        <f t="shared" si="1"/>
        <v>-296.70833333333348</v>
      </c>
      <c r="E97" s="39"/>
      <c r="F97" s="39"/>
      <c r="G97" s="39"/>
    </row>
    <row r="98" spans="1:13" x14ac:dyDescent="0.35">
      <c r="A98" s="4" t="s">
        <v>19</v>
      </c>
      <c r="B98">
        <f t="shared" si="1"/>
        <v>2979</v>
      </c>
      <c r="C98" s="1">
        <f t="shared" si="1"/>
        <v>3313.1666666666665</v>
      </c>
      <c r="D98" s="8">
        <f t="shared" si="1"/>
        <v>-334.16666666666652</v>
      </c>
      <c r="E98" s="39"/>
      <c r="F98" s="39"/>
      <c r="G98" s="39"/>
    </row>
    <row r="99" spans="1:13" x14ac:dyDescent="0.35">
      <c r="A99" s="4" t="s">
        <v>20</v>
      </c>
      <c r="B99">
        <f t="shared" si="1"/>
        <v>3443</v>
      </c>
      <c r="C99" s="1">
        <f t="shared" si="1"/>
        <v>3307.75</v>
      </c>
      <c r="D99" s="8">
        <f t="shared" si="1"/>
        <v>135.25</v>
      </c>
      <c r="E99" s="1"/>
      <c r="F99" s="1"/>
      <c r="G99" s="8"/>
      <c r="H99" s="1"/>
    </row>
    <row r="100" spans="1:13" x14ac:dyDescent="0.35">
      <c r="A100" s="4" t="s">
        <v>21</v>
      </c>
      <c r="B100">
        <f t="shared" ref="B100:D115" si="2">B20</f>
        <v>3514</v>
      </c>
      <c r="C100" s="1">
        <f t="shared" si="2"/>
        <v>3292.4166666666665</v>
      </c>
      <c r="D100" s="8">
        <f t="shared" si="2"/>
        <v>221.58333333333348</v>
      </c>
      <c r="E100" s="1"/>
      <c r="F100" s="1"/>
      <c r="G100" s="8"/>
    </row>
    <row r="101" spans="1:13" x14ac:dyDescent="0.35">
      <c r="A101" s="4" t="s">
        <v>22</v>
      </c>
      <c r="B101">
        <f t="shared" si="2"/>
        <v>3552</v>
      </c>
      <c r="C101" s="1">
        <f t="shared" si="2"/>
        <v>3281.0833333333335</v>
      </c>
      <c r="D101" s="8">
        <f t="shared" si="2"/>
        <v>270.91666666666652</v>
      </c>
      <c r="E101" s="1"/>
      <c r="F101" s="1"/>
      <c r="G101" s="8"/>
    </row>
    <row r="102" spans="1:13" x14ac:dyDescent="0.35">
      <c r="A102" s="4" t="s">
        <v>23</v>
      </c>
      <c r="B102">
        <f t="shared" si="2"/>
        <v>3490</v>
      </c>
      <c r="C102" s="1">
        <f t="shared" si="2"/>
        <v>3270.2083333333335</v>
      </c>
      <c r="D102" s="8">
        <f t="shared" si="2"/>
        <v>219.79166666666652</v>
      </c>
      <c r="E102" s="1"/>
      <c r="F102" s="1"/>
      <c r="G102" s="8"/>
    </row>
    <row r="103" spans="1:13" x14ac:dyDescent="0.35">
      <c r="A103" s="4" t="s">
        <v>24</v>
      </c>
      <c r="B103">
        <f t="shared" si="2"/>
        <v>3579</v>
      </c>
      <c r="C103" s="1">
        <f t="shared" si="2"/>
        <v>3259.4583333333335</v>
      </c>
      <c r="D103" s="8">
        <f t="shared" si="2"/>
        <v>319.54166666666652</v>
      </c>
      <c r="E103" s="1"/>
      <c r="F103" s="1"/>
      <c r="G103" s="8"/>
    </row>
    <row r="104" spans="1:13" x14ac:dyDescent="0.35">
      <c r="A104" s="4" t="s">
        <v>25</v>
      </c>
      <c r="B104">
        <f t="shared" si="2"/>
        <v>3657</v>
      </c>
      <c r="C104" s="1">
        <f t="shared" si="2"/>
        <v>3261.1666666666665</v>
      </c>
      <c r="D104" s="8">
        <f t="shared" si="2"/>
        <v>395.83333333333348</v>
      </c>
      <c r="E104" s="1"/>
      <c r="F104" s="1"/>
      <c r="G104" s="8"/>
    </row>
    <row r="105" spans="1:13" x14ac:dyDescent="0.35">
      <c r="A105" s="4" t="s">
        <v>26</v>
      </c>
      <c r="B105">
        <f t="shared" si="2"/>
        <v>3250</v>
      </c>
      <c r="C105" s="1">
        <f t="shared" si="2"/>
        <v>3264.25</v>
      </c>
      <c r="D105" s="8">
        <f t="shared" si="2"/>
        <v>-14.25</v>
      </c>
      <c r="E105" s="1"/>
      <c r="F105" s="1"/>
      <c r="G105" s="8"/>
    </row>
    <row r="106" spans="1:13" x14ac:dyDescent="0.35">
      <c r="A106" s="4" t="s">
        <v>27</v>
      </c>
      <c r="B106">
        <f t="shared" si="2"/>
        <v>3181</v>
      </c>
      <c r="C106" s="1">
        <f t="shared" si="2"/>
        <v>3260.4583333333335</v>
      </c>
      <c r="D106" s="8">
        <f t="shared" si="2"/>
        <v>-79.458333333333485</v>
      </c>
      <c r="E106" s="1"/>
      <c r="F106" s="1"/>
      <c r="G106" s="8"/>
    </row>
    <row r="107" spans="1:13" x14ac:dyDescent="0.35">
      <c r="A107" s="4" t="s">
        <v>28</v>
      </c>
      <c r="B107">
        <f t="shared" si="2"/>
        <v>2948</v>
      </c>
      <c r="C107" s="1">
        <f t="shared" si="2"/>
        <v>3256.7083333333335</v>
      </c>
      <c r="D107" s="8">
        <f t="shared" si="2"/>
        <v>-308.70833333333348</v>
      </c>
      <c r="E107" s="1"/>
      <c r="F107" s="1"/>
      <c r="G107" s="8"/>
    </row>
    <row r="108" spans="1:13" x14ac:dyDescent="0.35">
      <c r="A108" s="4" t="s">
        <v>29</v>
      </c>
      <c r="B108">
        <f t="shared" si="2"/>
        <v>2535</v>
      </c>
      <c r="C108" s="1">
        <f t="shared" si="2"/>
        <v>3262.125</v>
      </c>
      <c r="D108" s="8">
        <f t="shared" si="2"/>
        <v>-727.125</v>
      </c>
      <c r="E108" s="1"/>
      <c r="F108" s="1"/>
      <c r="G108" s="8"/>
    </row>
    <row r="109" spans="1:13" x14ac:dyDescent="0.35">
      <c r="A109" s="4" t="s">
        <v>30</v>
      </c>
      <c r="B109">
        <f t="shared" si="2"/>
        <v>2956</v>
      </c>
      <c r="C109" s="1">
        <f t="shared" si="2"/>
        <v>3267.0833333333335</v>
      </c>
      <c r="D109" s="8">
        <f t="shared" si="2"/>
        <v>-311.08333333333348</v>
      </c>
      <c r="E109" s="1"/>
      <c r="F109" s="1"/>
      <c r="G109" s="8"/>
    </row>
    <row r="110" spans="1:13" x14ac:dyDescent="0.35">
      <c r="A110" s="4" t="s">
        <v>31</v>
      </c>
      <c r="B110">
        <f t="shared" si="2"/>
        <v>3079</v>
      </c>
      <c r="C110" s="1">
        <f t="shared" si="2"/>
        <v>3259.2916666666665</v>
      </c>
      <c r="D110" s="8">
        <f t="shared" si="2"/>
        <v>-180.29166666666652</v>
      </c>
      <c r="E110" s="1"/>
      <c r="F110" s="1"/>
      <c r="G110" s="8"/>
    </row>
    <row r="111" spans="1:13" x14ac:dyDescent="0.35">
      <c r="A111" s="4" t="s">
        <v>32</v>
      </c>
      <c r="B111">
        <f t="shared" si="2"/>
        <v>3417</v>
      </c>
      <c r="C111" s="1">
        <f t="shared" si="2"/>
        <v>3254</v>
      </c>
      <c r="D111" s="8">
        <f t="shared" si="2"/>
        <v>163</v>
      </c>
      <c r="E111" s="1"/>
      <c r="F111" s="1"/>
      <c r="G111" s="8"/>
    </row>
    <row r="112" spans="1:13" x14ac:dyDescent="0.35">
      <c r="A112" s="4" t="s">
        <v>33</v>
      </c>
      <c r="B112">
        <f t="shared" si="2"/>
        <v>3449</v>
      </c>
      <c r="C112" s="1">
        <f t="shared" si="2"/>
        <v>3256.9583333333335</v>
      </c>
      <c r="D112" s="8">
        <f t="shared" si="2"/>
        <v>192.04166666666652</v>
      </c>
      <c r="E112" s="1"/>
      <c r="F112" s="1"/>
      <c r="G112" s="8"/>
      <c r="H112" s="1"/>
      <c r="I112" s="1"/>
      <c r="J112" s="1"/>
      <c r="K112" s="1"/>
      <c r="L112" s="1"/>
      <c r="M112" s="1"/>
    </row>
    <row r="113" spans="1:14" x14ac:dyDescent="0.35">
      <c r="A113" s="4" t="s">
        <v>34</v>
      </c>
      <c r="B113">
        <f t="shared" si="2"/>
        <v>3527</v>
      </c>
      <c r="C113" s="1">
        <f t="shared" si="2"/>
        <v>3256.7083333333335</v>
      </c>
      <c r="D113" s="8">
        <f t="shared" si="2"/>
        <v>270.29166666666652</v>
      </c>
      <c r="E113" s="1"/>
      <c r="F113" s="1"/>
      <c r="G113" s="8"/>
      <c r="H113" s="1"/>
      <c r="I113" s="1"/>
      <c r="J113" s="1"/>
      <c r="K113" s="1"/>
      <c r="L113" s="1"/>
      <c r="M113" s="1"/>
    </row>
    <row r="114" spans="1:14" x14ac:dyDescent="0.35">
      <c r="A114" s="4" t="s">
        <v>35</v>
      </c>
      <c r="B114">
        <f t="shared" si="2"/>
        <v>3645</v>
      </c>
      <c r="C114" s="1">
        <f t="shared" si="2"/>
        <v>3269</v>
      </c>
      <c r="D114" s="8">
        <f t="shared" si="2"/>
        <v>376</v>
      </c>
      <c r="E114" s="1"/>
      <c r="F114" s="1"/>
      <c r="G114" s="8"/>
      <c r="H114" s="1"/>
      <c r="I114" s="1"/>
      <c r="J114" s="1"/>
      <c r="K114" s="1"/>
      <c r="L114" s="1"/>
      <c r="M114" s="1"/>
    </row>
    <row r="115" spans="1:14" x14ac:dyDescent="0.35">
      <c r="A115" s="4" t="s">
        <v>36</v>
      </c>
      <c r="B115">
        <f t="shared" si="2"/>
        <v>3543</v>
      </c>
      <c r="C115" s="1">
        <f t="shared" si="2"/>
        <v>3279.0833333333335</v>
      </c>
      <c r="D115" s="8">
        <f t="shared" si="2"/>
        <v>263.91666666666652</v>
      </c>
      <c r="E115" s="1"/>
      <c r="F115" s="1"/>
      <c r="G115" s="8"/>
      <c r="H115" s="1"/>
      <c r="I115" s="1"/>
      <c r="J115" s="1"/>
      <c r="K115" s="1"/>
      <c r="L115" s="1"/>
      <c r="M115" s="1"/>
    </row>
    <row r="116" spans="1:14" x14ac:dyDescent="0.35">
      <c r="A116" s="4" t="s">
        <v>37</v>
      </c>
      <c r="B116">
        <f t="shared" ref="B116:D131" si="3">B36</f>
        <v>3506</v>
      </c>
      <c r="C116" s="1">
        <f t="shared" si="3"/>
        <v>3252.8333333333335</v>
      </c>
      <c r="D116" s="8">
        <f t="shared" si="3"/>
        <v>253.16666666666652</v>
      </c>
      <c r="E116" s="1"/>
      <c r="F116" s="1"/>
      <c r="G116" s="8"/>
    </row>
    <row r="117" spans="1:14" x14ac:dyDescent="0.35">
      <c r="A117" s="4" t="s">
        <v>38</v>
      </c>
      <c r="B117">
        <f t="shared" si="3"/>
        <v>3274</v>
      </c>
      <c r="C117" s="1">
        <f t="shared" si="3"/>
        <v>3228.0416666666665</v>
      </c>
      <c r="D117" s="8">
        <f t="shared" si="3"/>
        <v>45.958333333333485</v>
      </c>
      <c r="E117" s="1"/>
      <c r="F117" s="1"/>
      <c r="G117" s="8"/>
      <c r="H117" s="1"/>
      <c r="I117" s="1"/>
      <c r="J117" s="1"/>
      <c r="K117" s="1"/>
      <c r="L117" s="1"/>
      <c r="M117" s="1"/>
    </row>
    <row r="118" spans="1:14" x14ac:dyDescent="0.35">
      <c r="A118" s="4" t="s">
        <v>39</v>
      </c>
      <c r="B118">
        <f t="shared" si="3"/>
        <v>3228</v>
      </c>
      <c r="C118" s="1">
        <f t="shared" si="3"/>
        <v>3248.2083333333335</v>
      </c>
      <c r="D118" s="8">
        <f t="shared" si="3"/>
        <v>-20.208333333333485</v>
      </c>
      <c r="E118" s="1"/>
      <c r="F118" s="1"/>
      <c r="G118" s="8"/>
      <c r="H118" s="1"/>
      <c r="I118" s="1"/>
      <c r="J118" s="1"/>
      <c r="K118" s="1"/>
      <c r="L118" s="1"/>
      <c r="M118" s="1"/>
      <c r="N118" s="1"/>
    </row>
    <row r="119" spans="1:14" x14ac:dyDescent="0.35">
      <c r="A119" s="4" t="s">
        <v>40</v>
      </c>
      <c r="B119">
        <f t="shared" si="3"/>
        <v>2895</v>
      </c>
      <c r="C119" s="1">
        <f t="shared" si="3"/>
        <v>3294.2916666666665</v>
      </c>
      <c r="D119" s="8">
        <f t="shared" si="3"/>
        <v>-399.29166666666652</v>
      </c>
      <c r="E119" s="1"/>
      <c r="F119" s="1"/>
      <c r="G119" s="8"/>
    </row>
    <row r="120" spans="1:14" x14ac:dyDescent="0.35">
      <c r="A120" s="4" t="s">
        <v>41</v>
      </c>
      <c r="B120">
        <f t="shared" si="3"/>
        <v>2883</v>
      </c>
      <c r="C120" s="1">
        <f t="shared" si="3"/>
        <v>3340.3333333333335</v>
      </c>
      <c r="D120" s="8">
        <f t="shared" si="3"/>
        <v>-457.33333333333348</v>
      </c>
      <c r="E120" s="1"/>
      <c r="F120" s="1"/>
      <c r="G120" s="8"/>
    </row>
    <row r="121" spans="1:14" x14ac:dyDescent="0.35">
      <c r="A121" s="4" t="s">
        <v>42</v>
      </c>
      <c r="B121">
        <f t="shared" si="3"/>
        <v>2850</v>
      </c>
      <c r="C121" s="1">
        <f t="shared" si="3"/>
        <v>3384.6666666666665</v>
      </c>
      <c r="D121" s="8">
        <f t="shared" si="3"/>
        <v>-534.66666666666652</v>
      </c>
      <c r="E121" s="1"/>
      <c r="F121" s="1"/>
      <c r="G121" s="8"/>
    </row>
    <row r="122" spans="1:14" x14ac:dyDescent="0.35">
      <c r="A122" s="4" t="s">
        <v>43</v>
      </c>
      <c r="B122">
        <f t="shared" si="3"/>
        <v>2555</v>
      </c>
      <c r="C122" s="1">
        <f t="shared" si="3"/>
        <v>3433.5416666666665</v>
      </c>
      <c r="D122" s="8">
        <f t="shared" si="3"/>
        <v>-878.54166666666652</v>
      </c>
      <c r="E122" s="1"/>
      <c r="F122" s="1"/>
      <c r="G122" s="8"/>
    </row>
    <row r="123" spans="1:14" x14ac:dyDescent="0.35">
      <c r="A123" s="4" t="s">
        <v>44</v>
      </c>
      <c r="B123">
        <f t="shared" si="3"/>
        <v>3346</v>
      </c>
      <c r="C123" s="1">
        <f t="shared" si="3"/>
        <v>3481.2916666666665</v>
      </c>
      <c r="D123" s="8">
        <f t="shared" si="3"/>
        <v>-135.29166666666652</v>
      </c>
      <c r="E123" s="1"/>
      <c r="F123" s="1"/>
      <c r="G123" s="8"/>
    </row>
    <row r="124" spans="1:14" x14ac:dyDescent="0.35">
      <c r="A124" s="4" t="s">
        <v>45</v>
      </c>
      <c r="B124">
        <f t="shared" si="3"/>
        <v>4004</v>
      </c>
      <c r="C124" s="1">
        <f t="shared" si="3"/>
        <v>3514.8333333333335</v>
      </c>
      <c r="D124" s="8">
        <f t="shared" si="3"/>
        <v>489.16666666666652</v>
      </c>
      <c r="E124" s="1"/>
      <c r="F124" s="1"/>
      <c r="G124" s="8"/>
    </row>
    <row r="125" spans="1:14" x14ac:dyDescent="0.35">
      <c r="A125" s="4" t="s">
        <v>46</v>
      </c>
      <c r="B125">
        <f t="shared" si="3"/>
        <v>4078</v>
      </c>
      <c r="C125" s="1">
        <f t="shared" si="3"/>
        <v>3549.875</v>
      </c>
      <c r="D125" s="8">
        <f t="shared" si="3"/>
        <v>528.125</v>
      </c>
      <c r="E125" s="1"/>
      <c r="F125" s="1"/>
      <c r="G125" s="8"/>
    </row>
    <row r="126" spans="1:14" x14ac:dyDescent="0.35">
      <c r="A126" s="4" t="s">
        <v>47</v>
      </c>
      <c r="B126">
        <f t="shared" si="3"/>
        <v>4199</v>
      </c>
      <c r="C126" s="1">
        <f t="shared" si="3"/>
        <v>3567.7083333333335</v>
      </c>
      <c r="D126" s="8">
        <f t="shared" si="3"/>
        <v>631.29166666666652</v>
      </c>
      <c r="E126" s="1"/>
      <c r="F126" s="1"/>
      <c r="G126" s="8"/>
    </row>
    <row r="127" spans="1:14" x14ac:dyDescent="0.35">
      <c r="A127" s="4" t="s">
        <v>48</v>
      </c>
      <c r="B127">
        <f t="shared" si="3"/>
        <v>4053</v>
      </c>
      <c r="C127" s="1">
        <f t="shared" si="3"/>
        <v>3590.6666666666665</v>
      </c>
      <c r="D127" s="8">
        <f t="shared" si="3"/>
        <v>462.33333333333348</v>
      </c>
      <c r="E127" s="1"/>
      <c r="F127" s="1"/>
      <c r="G127" s="8"/>
    </row>
    <row r="128" spans="1:14" x14ac:dyDescent="0.35">
      <c r="A128" s="4" t="s">
        <v>49</v>
      </c>
      <c r="B128">
        <f t="shared" si="3"/>
        <v>4169</v>
      </c>
      <c r="C128" s="1">
        <f t="shared" si="3"/>
        <v>3672.125</v>
      </c>
      <c r="D128" s="8">
        <f t="shared" si="3"/>
        <v>496.875</v>
      </c>
      <c r="E128" s="1"/>
      <c r="F128" s="1"/>
      <c r="G128" s="8"/>
    </row>
    <row r="129" spans="1:7" x14ac:dyDescent="0.35">
      <c r="A129" s="4" t="s">
        <v>50</v>
      </c>
      <c r="B129">
        <f t="shared" si="3"/>
        <v>3757</v>
      </c>
      <c r="C129" s="1">
        <f t="shared" si="3"/>
        <v>3758.1666666666665</v>
      </c>
      <c r="D129" s="8">
        <f t="shared" si="3"/>
        <v>-1.1666666666665151</v>
      </c>
      <c r="E129" s="1"/>
      <c r="F129" s="1"/>
      <c r="G129" s="8"/>
    </row>
    <row r="130" spans="1:7" x14ac:dyDescent="0.35">
      <c r="A130" s="4" t="s">
        <v>51</v>
      </c>
      <c r="B130">
        <f t="shared" si="3"/>
        <v>3550</v>
      </c>
      <c r="C130" s="1">
        <f t="shared" si="3"/>
        <v>3793.7916666666665</v>
      </c>
      <c r="D130" s="8">
        <f t="shared" si="3"/>
        <v>-243.79166666666652</v>
      </c>
      <c r="E130" s="1"/>
      <c r="F130" s="1"/>
      <c r="G130" s="8"/>
    </row>
    <row r="131" spans="1:7" x14ac:dyDescent="0.35">
      <c r="A131" s="4" t="s">
        <v>52</v>
      </c>
      <c r="B131">
        <f t="shared" si="3"/>
        <v>3414</v>
      </c>
      <c r="C131" s="1">
        <f t="shared" si="3"/>
        <v>3804.8333333333335</v>
      </c>
      <c r="D131" s="8">
        <f t="shared" si="3"/>
        <v>-390.83333333333348</v>
      </c>
      <c r="E131" s="1"/>
      <c r="F131" s="1"/>
      <c r="G131" s="8"/>
    </row>
    <row r="132" spans="1:7" x14ac:dyDescent="0.35">
      <c r="A132" s="4" t="s">
        <v>53</v>
      </c>
      <c r="B132">
        <f t="shared" ref="B132:D142" si="4">B52</f>
        <v>2792</v>
      </c>
      <c r="C132" s="1">
        <f t="shared" si="4"/>
        <v>3816.625</v>
      </c>
      <c r="D132" s="8">
        <f t="shared" si="4"/>
        <v>-1024.625</v>
      </c>
      <c r="E132" s="1"/>
      <c r="F132" s="1"/>
      <c r="G132" s="8"/>
    </row>
    <row r="133" spans="1:7" x14ac:dyDescent="0.35">
      <c r="A133" s="4" t="s">
        <v>54</v>
      </c>
      <c r="B133">
        <f t="shared" si="4"/>
        <v>3492</v>
      </c>
      <c r="C133" s="1">
        <f t="shared" si="4"/>
        <v>3830.9583333333335</v>
      </c>
      <c r="D133" s="8">
        <f t="shared" si="4"/>
        <v>-338.95833333333348</v>
      </c>
      <c r="E133" s="1"/>
      <c r="F133" s="1"/>
      <c r="G133" s="8"/>
    </row>
    <row r="134" spans="1:7" x14ac:dyDescent="0.35">
      <c r="A134" s="4" t="s">
        <v>55</v>
      </c>
      <c r="B134">
        <f t="shared" si="4"/>
        <v>3868</v>
      </c>
      <c r="C134" s="1">
        <f t="shared" si="4"/>
        <v>3853.2916666666665</v>
      </c>
      <c r="D134" s="8">
        <f t="shared" si="4"/>
        <v>14.708333333333485</v>
      </c>
      <c r="E134" s="1"/>
      <c r="F134" s="1"/>
      <c r="G134" s="8"/>
    </row>
    <row r="135" spans="1:7" x14ac:dyDescent="0.35">
      <c r="A135" s="4" t="s">
        <v>56</v>
      </c>
      <c r="B135">
        <f t="shared" si="4"/>
        <v>4098</v>
      </c>
      <c r="C135" s="1">
        <f t="shared" si="4"/>
        <v>3875.5</v>
      </c>
      <c r="D135" s="8">
        <f t="shared" si="4"/>
        <v>222.5</v>
      </c>
      <c r="E135" s="1"/>
      <c r="F135" s="1"/>
      <c r="G135" s="8"/>
    </row>
    <row r="136" spans="1:7" x14ac:dyDescent="0.35">
      <c r="A136" s="4" t="s">
        <v>57</v>
      </c>
      <c r="B136">
        <f t="shared" si="4"/>
        <v>4107</v>
      </c>
      <c r="C136" s="1">
        <f t="shared" si="4"/>
        <v>3899.8333333333335</v>
      </c>
      <c r="D136" s="8">
        <f t="shared" si="4"/>
        <v>207.16666666666652</v>
      </c>
      <c r="E136" s="1"/>
      <c r="F136" s="1"/>
      <c r="G136" s="8"/>
    </row>
    <row r="137" spans="1:7" x14ac:dyDescent="0.35">
      <c r="A137" s="4" t="s">
        <v>58</v>
      </c>
      <c r="B137">
        <f t="shared" si="4"/>
        <v>4240</v>
      </c>
      <c r="C137" t="str">
        <f t="shared" si="4"/>
        <v>NA</v>
      </c>
      <c r="D137" s="5" t="str">
        <f t="shared" si="4"/>
        <v>NA</v>
      </c>
      <c r="E137" s="1"/>
      <c r="F137" s="1"/>
      <c r="G137" s="8"/>
    </row>
    <row r="138" spans="1:7" x14ac:dyDescent="0.35">
      <c r="A138" s="4" t="s">
        <v>59</v>
      </c>
      <c r="B138">
        <f t="shared" si="4"/>
        <v>4320</v>
      </c>
      <c r="C138" t="str">
        <f t="shared" si="4"/>
        <v>NA</v>
      </c>
      <c r="D138" s="5" t="str">
        <f t="shared" si="4"/>
        <v>NA</v>
      </c>
      <c r="E138" s="1"/>
      <c r="F138" s="1"/>
      <c r="G138" s="8"/>
    </row>
    <row r="139" spans="1:7" x14ac:dyDescent="0.35">
      <c r="A139" s="4" t="s">
        <v>60</v>
      </c>
      <c r="B139">
        <f t="shared" si="4"/>
        <v>4276</v>
      </c>
      <c r="C139" t="str">
        <f t="shared" si="4"/>
        <v>NA</v>
      </c>
      <c r="D139" s="5" t="str">
        <f t="shared" si="4"/>
        <v>NA</v>
      </c>
      <c r="E139" s="1"/>
      <c r="F139" s="1"/>
      <c r="G139" s="8"/>
    </row>
    <row r="140" spans="1:7" x14ac:dyDescent="0.35">
      <c r="A140" s="4" t="s">
        <v>61</v>
      </c>
      <c r="B140">
        <f t="shared" si="4"/>
        <v>4482</v>
      </c>
      <c r="C140" t="str">
        <f t="shared" si="4"/>
        <v>NA</v>
      </c>
      <c r="D140" s="5" t="str">
        <f t="shared" si="4"/>
        <v>NA</v>
      </c>
      <c r="E140" s="1"/>
      <c r="F140" s="1"/>
      <c r="G140" s="8"/>
    </row>
    <row r="141" spans="1:7" x14ac:dyDescent="0.35">
      <c r="A141" s="4" t="s">
        <v>62</v>
      </c>
      <c r="B141">
        <f t="shared" si="4"/>
        <v>3977</v>
      </c>
      <c r="C141" t="str">
        <f t="shared" si="4"/>
        <v>NA</v>
      </c>
      <c r="D141" s="5" t="str">
        <f t="shared" si="4"/>
        <v>NA</v>
      </c>
      <c r="E141" s="1"/>
      <c r="F141" s="1"/>
      <c r="G141" s="8"/>
    </row>
    <row r="142" spans="1:7" x14ac:dyDescent="0.35">
      <c r="A142" s="6" t="s">
        <v>63</v>
      </c>
      <c r="B142" s="13">
        <f t="shared" si="4"/>
        <v>3914</v>
      </c>
      <c r="C142" s="13" t="str">
        <f t="shared" si="4"/>
        <v>NA</v>
      </c>
      <c r="D142" s="14" t="str">
        <f t="shared" si="4"/>
        <v>NA</v>
      </c>
      <c r="E142" s="13"/>
      <c r="F142" s="13"/>
      <c r="G142" s="14"/>
    </row>
  </sheetData>
  <mergeCells count="4">
    <mergeCell ref="A1:D1"/>
    <mergeCell ref="A69:M69"/>
    <mergeCell ref="N74:N75"/>
    <mergeCell ref="A81:G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C235-57FF-4493-B69D-BAAB30A1BDCA}">
  <dimension ref="A1:N118"/>
  <sheetViews>
    <sheetView topLeftCell="A74" workbookViewId="0">
      <selection activeCell="E99" sqref="E99:E106"/>
    </sheetView>
  </sheetViews>
  <sheetFormatPr defaultRowHeight="14.5" x14ac:dyDescent="0.35"/>
  <cols>
    <col min="1" max="2" width="12" customWidth="1"/>
    <col min="3" max="3" width="12.1796875" bestFit="1" customWidth="1"/>
    <col min="4" max="6" width="11.1796875" bestFit="1" customWidth="1"/>
    <col min="7" max="7" width="18.90625" customWidth="1"/>
    <col min="14" max="14" width="9.6328125" customWidth="1"/>
  </cols>
  <sheetData>
    <row r="1" spans="1:4" ht="45.65" customHeight="1" x14ac:dyDescent="0.35">
      <c r="A1" s="36" t="s">
        <v>82</v>
      </c>
      <c r="B1" s="37"/>
      <c r="C1" s="37"/>
      <c r="D1" s="38"/>
    </row>
    <row r="2" spans="1:4" ht="29" x14ac:dyDescent="0.35">
      <c r="A2" s="15" t="s">
        <v>0</v>
      </c>
      <c r="B2" s="16" t="s">
        <v>1</v>
      </c>
      <c r="C2" s="17"/>
      <c r="D2" s="26"/>
    </row>
    <row r="3" spans="1:4" x14ac:dyDescent="0.35">
      <c r="A3" s="4" t="s">
        <v>4</v>
      </c>
      <c r="B3">
        <v>3034</v>
      </c>
      <c r="C3" t="str">
        <f>IFERROR(((0.5 *#REF!)+#REF!+#REF!+#REF!+#REF!+B2+B3+B4+B5+B6+B7+B8+(0.5*B9))/12, "NA")</f>
        <v>NA</v>
      </c>
      <c r="D3" s="5" t="str">
        <f t="shared" ref="D3:D8" si="0">IFERROR(B3-C3, "NA")</f>
        <v>NA</v>
      </c>
    </row>
    <row r="4" spans="1:4" x14ac:dyDescent="0.35">
      <c r="A4" s="4" t="s">
        <v>5</v>
      </c>
      <c r="B4">
        <v>2748</v>
      </c>
      <c r="C4" t="str">
        <f>IFERROR(((0.5 *#REF!)+#REF!+#REF!+#REF!+B2+B3+B4+B5+B6+B7+B8+B9+(0.5*B10))/12, "NA")</f>
        <v>NA</v>
      </c>
      <c r="D4" s="5" t="str">
        <f t="shared" si="0"/>
        <v>NA</v>
      </c>
    </row>
    <row r="5" spans="1:4" x14ac:dyDescent="0.35">
      <c r="A5" s="4" t="s">
        <v>6</v>
      </c>
      <c r="B5">
        <v>3164</v>
      </c>
      <c r="C5" t="str">
        <f>IFERROR(((0.5 *#REF!)+#REF!+#REF!+B2+B3+B4+B5+B6+B7+B8+B9+B10+(0.5*B11))/12, "NA")</f>
        <v>NA</v>
      </c>
      <c r="D5" s="5" t="str">
        <f t="shared" si="0"/>
        <v>NA</v>
      </c>
    </row>
    <row r="6" spans="1:4" x14ac:dyDescent="0.35">
      <c r="A6" s="4" t="s">
        <v>7</v>
      </c>
      <c r="B6">
        <v>3238</v>
      </c>
      <c r="C6" t="str">
        <f>IFERROR(((0.5 *#REF!)+#REF!+B2+B3+B4+B5+B6+B7+B8+B9+B10+B11+(0.5*B12))/12, "NA")</f>
        <v>NA</v>
      </c>
      <c r="D6" s="5" t="str">
        <f t="shared" si="0"/>
        <v>NA</v>
      </c>
    </row>
    <row r="7" spans="1:4" x14ac:dyDescent="0.35">
      <c r="A7" s="4" t="s">
        <v>8</v>
      </c>
      <c r="B7">
        <v>3416</v>
      </c>
      <c r="C7" t="str">
        <f>IFERROR(((0.5 *#REF!)+B2+B3+B4+B5+B6+B7+B8+B9+B10+B11+B12+(0.5*B13))/12, "NA")</f>
        <v>NA</v>
      </c>
      <c r="D7" s="5" t="str">
        <f t="shared" si="0"/>
        <v>NA</v>
      </c>
    </row>
    <row r="8" spans="1:4" x14ac:dyDescent="0.35">
      <c r="A8" s="4" t="s">
        <v>9</v>
      </c>
      <c r="B8">
        <v>3492</v>
      </c>
      <c r="C8" t="str">
        <f t="shared" ref="C8" si="1">IFERROR(((0.5 * B2)+B3+B4+B5+B6+B7+B8+B9+B10+B11+B12+B13+(0.5*B14))/12, "NA")</f>
        <v>NA</v>
      </c>
      <c r="D8" s="5" t="str">
        <f t="shared" si="0"/>
        <v>NA</v>
      </c>
    </row>
    <row r="9" spans="1:4" x14ac:dyDescent="0.35">
      <c r="A9" s="4" t="s">
        <v>10</v>
      </c>
      <c r="B9">
        <v>3730</v>
      </c>
      <c r="C9" s="1">
        <f>IFERROR(((0.5 * B3)+B4+B5+B6+B7+B8+B9+B10+B11+B12+B13+B14+(0.5*B15))/12, "NA")</f>
        <v>3351.5833333333335</v>
      </c>
      <c r="D9" s="39">
        <f>IFERROR(B9-C9, "NA")</f>
        <v>378.41666666666652</v>
      </c>
    </row>
    <row r="10" spans="1:4" x14ac:dyDescent="0.35">
      <c r="A10" s="4" t="s">
        <v>11</v>
      </c>
      <c r="B10">
        <v>3409</v>
      </c>
      <c r="C10" s="1">
        <f>IFERROR(((0.5 * B4)+B5+B6+B7+B8+B9+B10+B11+B12+B13+B14+B15+(0.5*B16))/12, "NA")</f>
        <v>3350</v>
      </c>
      <c r="D10" s="39">
        <f t="shared" ref="D10:D47" si="2">IFERROR(B10-C10, "NA")</f>
        <v>59</v>
      </c>
    </row>
    <row r="11" spans="1:4" x14ac:dyDescent="0.35">
      <c r="A11" s="4" t="s">
        <v>12</v>
      </c>
      <c r="B11">
        <v>3572</v>
      </c>
      <c r="C11" s="1">
        <f t="shared" ref="C11:C47" si="3">IFERROR(((0.5 * B5)+B6+B7+B8+B9+B10+B11+B12+B13+B14+B15+B16+(0.5*B17))/12, "NA")</f>
        <v>3343.2083333333335</v>
      </c>
      <c r="D11" s="39">
        <f t="shared" si="2"/>
        <v>228.79166666666652</v>
      </c>
    </row>
    <row r="12" spans="1:4" x14ac:dyDescent="0.35">
      <c r="A12" s="4" t="s">
        <v>13</v>
      </c>
      <c r="B12">
        <v>3629</v>
      </c>
      <c r="C12" s="1">
        <f t="shared" si="3"/>
        <v>3326.2083333333335</v>
      </c>
      <c r="D12" s="39">
        <f t="shared" si="2"/>
        <v>302.79166666666652</v>
      </c>
    </row>
    <row r="13" spans="1:4" x14ac:dyDescent="0.35">
      <c r="A13" s="4" t="s">
        <v>14</v>
      </c>
      <c r="B13">
        <v>3408</v>
      </c>
      <c r="C13" s="1">
        <f t="shared" si="3"/>
        <v>3316.5416666666665</v>
      </c>
      <c r="D13" s="39">
        <f t="shared" si="2"/>
        <v>91.458333333333485</v>
      </c>
    </row>
    <row r="14" spans="1:4" x14ac:dyDescent="0.35">
      <c r="A14" s="4" t="s">
        <v>15</v>
      </c>
      <c r="B14">
        <v>3391</v>
      </c>
      <c r="C14" s="1">
        <f t="shared" si="3"/>
        <v>3318.5833333333335</v>
      </c>
      <c r="D14" s="39">
        <f t="shared" si="2"/>
        <v>72.416666666666515</v>
      </c>
    </row>
    <row r="15" spans="1:4" x14ac:dyDescent="0.35">
      <c r="A15" s="4" t="s">
        <v>16</v>
      </c>
      <c r="B15">
        <v>3010</v>
      </c>
      <c r="C15" s="1">
        <f t="shared" si="3"/>
        <v>3312.0833333333335</v>
      </c>
      <c r="D15" s="39">
        <f t="shared" si="2"/>
        <v>-302.08333333333348</v>
      </c>
    </row>
    <row r="16" spans="1:4" x14ac:dyDescent="0.35">
      <c r="A16" s="4" t="s">
        <v>17</v>
      </c>
      <c r="B16">
        <v>2734</v>
      </c>
      <c r="C16" s="1">
        <f t="shared" si="3"/>
        <v>3308.0416666666665</v>
      </c>
      <c r="D16" s="39">
        <f t="shared" si="2"/>
        <v>-574.04166666666652</v>
      </c>
    </row>
    <row r="17" spans="1:4" x14ac:dyDescent="0.35">
      <c r="A17" s="4" t="s">
        <v>18</v>
      </c>
      <c r="B17">
        <v>3015</v>
      </c>
      <c r="C17" s="1">
        <f t="shared" si="3"/>
        <v>3311.7083333333335</v>
      </c>
      <c r="D17" s="8">
        <f t="shared" si="2"/>
        <v>-296.70833333333348</v>
      </c>
    </row>
    <row r="18" spans="1:4" x14ac:dyDescent="0.35">
      <c r="A18" s="4" t="s">
        <v>19</v>
      </c>
      <c r="B18">
        <v>2979</v>
      </c>
      <c r="C18" s="1">
        <f t="shared" si="3"/>
        <v>3313.1666666666665</v>
      </c>
      <c r="D18" s="8">
        <f t="shared" si="2"/>
        <v>-334.16666666666652</v>
      </c>
    </row>
    <row r="19" spans="1:4" x14ac:dyDescent="0.35">
      <c r="A19" s="4" t="s">
        <v>20</v>
      </c>
      <c r="B19">
        <v>3443</v>
      </c>
      <c r="C19" s="1">
        <f t="shared" si="3"/>
        <v>3307.75</v>
      </c>
      <c r="D19" s="8">
        <f t="shared" si="2"/>
        <v>135.25</v>
      </c>
    </row>
    <row r="20" spans="1:4" x14ac:dyDescent="0.35">
      <c r="A20" s="4" t="s">
        <v>21</v>
      </c>
      <c r="B20">
        <v>3514</v>
      </c>
      <c r="C20" s="1">
        <f t="shared" si="3"/>
        <v>3292.4166666666665</v>
      </c>
      <c r="D20" s="8">
        <f t="shared" si="2"/>
        <v>221.58333333333348</v>
      </c>
    </row>
    <row r="21" spans="1:4" x14ac:dyDescent="0.35">
      <c r="A21" s="4" t="s">
        <v>22</v>
      </c>
      <c r="B21">
        <v>3552</v>
      </c>
      <c r="C21" s="1">
        <f t="shared" si="3"/>
        <v>3281.0833333333335</v>
      </c>
      <c r="D21" s="8">
        <f t="shared" si="2"/>
        <v>270.91666666666652</v>
      </c>
    </row>
    <row r="22" spans="1:4" x14ac:dyDescent="0.35">
      <c r="A22" s="4" t="s">
        <v>23</v>
      </c>
      <c r="B22">
        <v>3490</v>
      </c>
      <c r="C22" s="1">
        <f t="shared" si="3"/>
        <v>3270.2083333333335</v>
      </c>
      <c r="D22" s="8">
        <f t="shared" si="2"/>
        <v>219.79166666666652</v>
      </c>
    </row>
    <row r="23" spans="1:4" x14ac:dyDescent="0.35">
      <c r="A23" s="4" t="s">
        <v>24</v>
      </c>
      <c r="B23">
        <v>3579</v>
      </c>
      <c r="C23" s="1">
        <f t="shared" si="3"/>
        <v>3259.4583333333335</v>
      </c>
      <c r="D23" s="8">
        <f t="shared" si="2"/>
        <v>319.54166666666652</v>
      </c>
    </row>
    <row r="24" spans="1:4" x14ac:dyDescent="0.35">
      <c r="A24" s="4" t="s">
        <v>25</v>
      </c>
      <c r="B24">
        <v>3657</v>
      </c>
      <c r="C24" s="1">
        <f t="shared" si="3"/>
        <v>3261.1666666666665</v>
      </c>
      <c r="D24" s="8">
        <f t="shared" si="2"/>
        <v>395.83333333333348</v>
      </c>
    </row>
    <row r="25" spans="1:4" x14ac:dyDescent="0.35">
      <c r="A25" s="4" t="s">
        <v>26</v>
      </c>
      <c r="B25">
        <v>3250</v>
      </c>
      <c r="C25" s="1">
        <f t="shared" si="3"/>
        <v>3264.25</v>
      </c>
      <c r="D25" s="8">
        <f t="shared" si="2"/>
        <v>-14.25</v>
      </c>
    </row>
    <row r="26" spans="1:4" x14ac:dyDescent="0.35">
      <c r="A26" s="4" t="s">
        <v>27</v>
      </c>
      <c r="B26">
        <v>3181</v>
      </c>
      <c r="C26" s="1">
        <f t="shared" si="3"/>
        <v>3260.4583333333335</v>
      </c>
      <c r="D26" s="8">
        <f t="shared" si="2"/>
        <v>-79.458333333333485</v>
      </c>
    </row>
    <row r="27" spans="1:4" x14ac:dyDescent="0.35">
      <c r="A27" s="4" t="s">
        <v>28</v>
      </c>
      <c r="B27">
        <v>2948</v>
      </c>
      <c r="C27" s="1">
        <f t="shared" si="3"/>
        <v>3256.7083333333335</v>
      </c>
      <c r="D27" s="8">
        <f t="shared" si="2"/>
        <v>-308.70833333333348</v>
      </c>
    </row>
    <row r="28" spans="1:4" x14ac:dyDescent="0.35">
      <c r="A28" s="4" t="s">
        <v>29</v>
      </c>
      <c r="B28">
        <v>2535</v>
      </c>
      <c r="C28" s="1">
        <f t="shared" si="3"/>
        <v>3262.125</v>
      </c>
      <c r="D28" s="8">
        <f t="shared" si="2"/>
        <v>-727.125</v>
      </c>
    </row>
    <row r="29" spans="1:4" x14ac:dyDescent="0.35">
      <c r="A29" s="4" t="s">
        <v>30</v>
      </c>
      <c r="B29">
        <v>2956</v>
      </c>
      <c r="C29" s="1">
        <f t="shared" si="3"/>
        <v>3267.0833333333335</v>
      </c>
      <c r="D29" s="8">
        <f t="shared" si="2"/>
        <v>-311.08333333333348</v>
      </c>
    </row>
    <row r="30" spans="1:4" x14ac:dyDescent="0.35">
      <c r="A30" s="4" t="s">
        <v>31</v>
      </c>
      <c r="B30">
        <v>3079</v>
      </c>
      <c r="C30" s="1">
        <f t="shared" si="3"/>
        <v>3259.2916666666665</v>
      </c>
      <c r="D30" s="8">
        <f t="shared" si="2"/>
        <v>-180.29166666666652</v>
      </c>
    </row>
    <row r="31" spans="1:4" x14ac:dyDescent="0.35">
      <c r="A31" s="4" t="s">
        <v>32</v>
      </c>
      <c r="B31">
        <v>3417</v>
      </c>
      <c r="C31" s="1">
        <f t="shared" si="3"/>
        <v>3254</v>
      </c>
      <c r="D31" s="8">
        <f t="shared" si="2"/>
        <v>163</v>
      </c>
    </row>
    <row r="32" spans="1:4" x14ac:dyDescent="0.35">
      <c r="A32" s="4" t="s">
        <v>33</v>
      </c>
      <c r="B32">
        <v>3449</v>
      </c>
      <c r="C32" s="1">
        <f t="shared" si="3"/>
        <v>3256.9583333333335</v>
      </c>
      <c r="D32" s="8">
        <f t="shared" si="2"/>
        <v>192.04166666666652</v>
      </c>
    </row>
    <row r="33" spans="1:4" x14ac:dyDescent="0.35">
      <c r="A33" s="4" t="s">
        <v>34</v>
      </c>
      <c r="B33">
        <v>3527</v>
      </c>
      <c r="C33" s="1">
        <f t="shared" si="3"/>
        <v>3256.7083333333335</v>
      </c>
      <c r="D33" s="8">
        <f t="shared" si="2"/>
        <v>270.29166666666652</v>
      </c>
    </row>
    <row r="34" spans="1:4" x14ac:dyDescent="0.35">
      <c r="A34" s="4" t="s">
        <v>35</v>
      </c>
      <c r="B34">
        <v>3645</v>
      </c>
      <c r="C34" s="1">
        <f t="shared" si="3"/>
        <v>3269</v>
      </c>
      <c r="D34" s="8">
        <f t="shared" si="2"/>
        <v>376</v>
      </c>
    </row>
    <row r="35" spans="1:4" x14ac:dyDescent="0.35">
      <c r="A35" s="4" t="s">
        <v>36</v>
      </c>
      <c r="B35">
        <v>3543</v>
      </c>
      <c r="C35" s="1">
        <f t="shared" si="3"/>
        <v>3279.0833333333335</v>
      </c>
      <c r="D35" s="8">
        <f t="shared" si="2"/>
        <v>263.91666666666652</v>
      </c>
    </row>
    <row r="36" spans="1:4" x14ac:dyDescent="0.35">
      <c r="A36" s="4" t="s">
        <v>37</v>
      </c>
      <c r="B36">
        <v>3506</v>
      </c>
      <c r="C36" s="1">
        <f t="shared" si="3"/>
        <v>3252.8333333333335</v>
      </c>
      <c r="D36" s="8">
        <f t="shared" si="2"/>
        <v>253.16666666666652</v>
      </c>
    </row>
    <row r="37" spans="1:4" x14ac:dyDescent="0.35">
      <c r="A37" s="4" t="s">
        <v>38</v>
      </c>
      <c r="B37">
        <v>3274</v>
      </c>
      <c r="C37" s="1">
        <f t="shared" si="3"/>
        <v>3228.0416666666665</v>
      </c>
      <c r="D37" s="8">
        <f t="shared" si="2"/>
        <v>45.958333333333485</v>
      </c>
    </row>
    <row r="38" spans="1:4" x14ac:dyDescent="0.35">
      <c r="A38" s="4" t="s">
        <v>39</v>
      </c>
      <c r="B38">
        <v>3228</v>
      </c>
      <c r="C38" s="1">
        <f t="shared" si="3"/>
        <v>3248.2083333333335</v>
      </c>
      <c r="D38" s="8">
        <f t="shared" si="2"/>
        <v>-20.208333333333485</v>
      </c>
    </row>
    <row r="39" spans="1:4" x14ac:dyDescent="0.35">
      <c r="A39" s="4" t="s">
        <v>40</v>
      </c>
      <c r="B39">
        <v>2895</v>
      </c>
      <c r="C39" s="1">
        <f t="shared" si="3"/>
        <v>3294.2916666666665</v>
      </c>
      <c r="D39" s="8">
        <f t="shared" si="2"/>
        <v>-399.29166666666652</v>
      </c>
    </row>
    <row r="40" spans="1:4" x14ac:dyDescent="0.35">
      <c r="A40" s="4" t="s">
        <v>41</v>
      </c>
      <c r="B40">
        <v>2883</v>
      </c>
      <c r="C40" s="1">
        <f t="shared" si="3"/>
        <v>3340.3333333333335</v>
      </c>
      <c r="D40" s="8">
        <f t="shared" si="2"/>
        <v>-457.33333333333348</v>
      </c>
    </row>
    <row r="41" spans="1:4" x14ac:dyDescent="0.35">
      <c r="A41" s="4" t="s">
        <v>42</v>
      </c>
      <c r="B41">
        <v>2850</v>
      </c>
      <c r="C41" s="1">
        <f t="shared" si="3"/>
        <v>3384.6666666666665</v>
      </c>
      <c r="D41" s="8">
        <f t="shared" si="2"/>
        <v>-534.66666666666652</v>
      </c>
    </row>
    <row r="42" spans="1:4" x14ac:dyDescent="0.35">
      <c r="A42" s="4" t="s">
        <v>43</v>
      </c>
      <c r="B42">
        <v>2555</v>
      </c>
      <c r="C42" s="1">
        <f t="shared" si="3"/>
        <v>3433.5416666666665</v>
      </c>
      <c r="D42" s="8">
        <f t="shared" si="2"/>
        <v>-878.54166666666652</v>
      </c>
    </row>
    <row r="43" spans="1:4" x14ac:dyDescent="0.35">
      <c r="A43" s="4" t="s">
        <v>44</v>
      </c>
      <c r="B43">
        <v>3346</v>
      </c>
      <c r="C43" s="1">
        <f t="shared" si="3"/>
        <v>3481.2916666666665</v>
      </c>
      <c r="D43" s="8">
        <f t="shared" si="2"/>
        <v>-135.29166666666652</v>
      </c>
    </row>
    <row r="44" spans="1:4" x14ac:dyDescent="0.35">
      <c r="A44" s="4" t="s">
        <v>45</v>
      </c>
      <c r="B44">
        <v>4004</v>
      </c>
      <c r="C44" s="1">
        <f t="shared" si="3"/>
        <v>3514.8333333333335</v>
      </c>
      <c r="D44" s="8">
        <f t="shared" si="2"/>
        <v>489.16666666666652</v>
      </c>
    </row>
    <row r="45" spans="1:4" x14ac:dyDescent="0.35">
      <c r="A45" s="4" t="s">
        <v>46</v>
      </c>
      <c r="B45">
        <v>4078</v>
      </c>
      <c r="C45" s="1">
        <f t="shared" si="3"/>
        <v>3549.875</v>
      </c>
      <c r="D45" s="8">
        <f t="shared" si="2"/>
        <v>528.125</v>
      </c>
    </row>
    <row r="46" spans="1:4" x14ac:dyDescent="0.35">
      <c r="A46" s="4" t="s">
        <v>47</v>
      </c>
      <c r="B46">
        <v>4199</v>
      </c>
      <c r="C46" s="1">
        <f t="shared" si="3"/>
        <v>3567.7083333333335</v>
      </c>
      <c r="D46" s="8">
        <f t="shared" si="2"/>
        <v>631.29166666666652</v>
      </c>
    </row>
    <row r="47" spans="1:4" x14ac:dyDescent="0.35">
      <c r="A47" s="4" t="s">
        <v>48</v>
      </c>
      <c r="B47">
        <v>4053</v>
      </c>
      <c r="C47" s="1">
        <f t="shared" si="3"/>
        <v>3590.6666666666665</v>
      </c>
      <c r="D47" s="8">
        <f t="shared" si="2"/>
        <v>462.33333333333348</v>
      </c>
    </row>
    <row r="48" spans="1:4" x14ac:dyDescent="0.35">
      <c r="A48" s="4" t="s">
        <v>49</v>
      </c>
      <c r="B48">
        <v>4169</v>
      </c>
      <c r="C48" s="1">
        <f t="shared" ref="C48:C62" si="4">IFERROR(((0.5 * B42)+B43+B44+B45+B46+B47+B48+B49+B50+B51+B52+B53+(0.5*B54))/12, "NA")</f>
        <v>3672.125</v>
      </c>
      <c r="D48" s="8">
        <f t="shared" ref="D48:D62" si="5">IFERROR(B48-C48, "NA")</f>
        <v>496.875</v>
      </c>
    </row>
    <row r="49" spans="1:4" x14ac:dyDescent="0.35">
      <c r="A49" s="4" t="s">
        <v>50</v>
      </c>
      <c r="B49">
        <v>3757</v>
      </c>
      <c r="C49" s="1">
        <f t="shared" si="4"/>
        <v>3758.1666666666665</v>
      </c>
      <c r="D49" s="8">
        <f t="shared" si="5"/>
        <v>-1.1666666666665151</v>
      </c>
    </row>
    <row r="50" spans="1:4" x14ac:dyDescent="0.35">
      <c r="A50" s="4" t="s">
        <v>51</v>
      </c>
      <c r="B50">
        <v>3550</v>
      </c>
      <c r="C50" s="1">
        <f t="shared" si="4"/>
        <v>3793.7916666666665</v>
      </c>
      <c r="D50" s="8">
        <f t="shared" si="5"/>
        <v>-243.79166666666652</v>
      </c>
    </row>
    <row r="51" spans="1:4" x14ac:dyDescent="0.35">
      <c r="A51" s="4" t="s">
        <v>52</v>
      </c>
      <c r="B51">
        <v>3414</v>
      </c>
      <c r="C51" s="1">
        <f t="shared" si="4"/>
        <v>3804.8333333333335</v>
      </c>
      <c r="D51" s="8">
        <f t="shared" si="5"/>
        <v>-390.83333333333348</v>
      </c>
    </row>
    <row r="52" spans="1:4" x14ac:dyDescent="0.35">
      <c r="A52" s="4" t="s">
        <v>53</v>
      </c>
      <c r="B52">
        <v>2792</v>
      </c>
      <c r="C52" s="1">
        <f t="shared" si="4"/>
        <v>3816.625</v>
      </c>
      <c r="D52" s="8">
        <f t="shared" si="5"/>
        <v>-1024.625</v>
      </c>
    </row>
    <row r="53" spans="1:4" x14ac:dyDescent="0.35">
      <c r="A53" s="4" t="s">
        <v>54</v>
      </c>
      <c r="B53">
        <v>3492</v>
      </c>
      <c r="C53" s="1">
        <f t="shared" si="4"/>
        <v>3830.9583333333335</v>
      </c>
      <c r="D53" s="8">
        <f t="shared" si="5"/>
        <v>-338.95833333333348</v>
      </c>
    </row>
    <row r="54" spans="1:4" x14ac:dyDescent="0.35">
      <c r="A54" s="4" t="s">
        <v>55</v>
      </c>
      <c r="B54">
        <v>3868</v>
      </c>
      <c r="C54" s="1">
        <f t="shared" si="4"/>
        <v>3853.2916666666665</v>
      </c>
      <c r="D54" s="8">
        <f t="shared" si="5"/>
        <v>14.708333333333485</v>
      </c>
    </row>
    <row r="55" spans="1:4" x14ac:dyDescent="0.35">
      <c r="A55" s="4" t="s">
        <v>56</v>
      </c>
      <c r="B55">
        <v>4098</v>
      </c>
      <c r="C55" s="1">
        <f t="shared" si="4"/>
        <v>3875.5</v>
      </c>
      <c r="D55" s="8">
        <f t="shared" si="5"/>
        <v>222.5</v>
      </c>
    </row>
    <row r="56" spans="1:4" x14ac:dyDescent="0.35">
      <c r="A56" s="4" t="s">
        <v>57</v>
      </c>
      <c r="B56">
        <v>4107</v>
      </c>
      <c r="C56" s="1">
        <f t="shared" si="4"/>
        <v>3899.8333333333335</v>
      </c>
      <c r="D56" s="8">
        <f t="shared" si="5"/>
        <v>207.16666666666652</v>
      </c>
    </row>
    <row r="57" spans="1:4" x14ac:dyDescent="0.35">
      <c r="A57" s="4" t="s">
        <v>58</v>
      </c>
      <c r="B57">
        <v>4240</v>
      </c>
      <c r="C57" t="str">
        <f t="shared" si="4"/>
        <v>NA</v>
      </c>
      <c r="D57" s="5" t="str">
        <f t="shared" si="5"/>
        <v>NA</v>
      </c>
    </row>
    <row r="58" spans="1:4" x14ac:dyDescent="0.35">
      <c r="A58" s="4" t="s">
        <v>59</v>
      </c>
      <c r="B58">
        <v>4320</v>
      </c>
      <c r="C58" t="str">
        <f t="shared" si="4"/>
        <v>NA</v>
      </c>
      <c r="D58" s="5" t="str">
        <f t="shared" si="5"/>
        <v>NA</v>
      </c>
    </row>
    <row r="59" spans="1:4" x14ac:dyDescent="0.35">
      <c r="A59" s="4" t="s">
        <v>60</v>
      </c>
      <c r="B59">
        <v>4276</v>
      </c>
      <c r="C59" t="str">
        <f t="shared" si="4"/>
        <v>NA</v>
      </c>
      <c r="D59" s="5" t="str">
        <f t="shared" si="5"/>
        <v>NA</v>
      </c>
    </row>
    <row r="60" spans="1:4" x14ac:dyDescent="0.35">
      <c r="A60" s="4" t="s">
        <v>61</v>
      </c>
      <c r="B60">
        <v>4482</v>
      </c>
      <c r="C60" t="str">
        <f t="shared" si="4"/>
        <v>NA</v>
      </c>
      <c r="D60" s="5" t="str">
        <f t="shared" si="5"/>
        <v>NA</v>
      </c>
    </row>
    <row r="61" spans="1:4" x14ac:dyDescent="0.35">
      <c r="A61" s="4" t="s">
        <v>62</v>
      </c>
      <c r="B61">
        <v>3977</v>
      </c>
      <c r="C61" t="str">
        <f t="shared" si="4"/>
        <v>NA</v>
      </c>
      <c r="D61" s="5" t="str">
        <f t="shared" si="5"/>
        <v>NA</v>
      </c>
    </row>
    <row r="62" spans="1:4" x14ac:dyDescent="0.35">
      <c r="A62" s="6" t="s">
        <v>63</v>
      </c>
      <c r="B62" s="13">
        <v>3914</v>
      </c>
      <c r="C62" s="13" t="str">
        <f t="shared" si="4"/>
        <v>NA</v>
      </c>
      <c r="D62" s="14" t="str">
        <f t="shared" si="5"/>
        <v>NA</v>
      </c>
    </row>
    <row r="63" spans="1:4" x14ac:dyDescent="0.35">
      <c r="B63" t="s">
        <v>83</v>
      </c>
    </row>
    <row r="64" spans="1:4" x14ac:dyDescent="0.35">
      <c r="B64" t="s">
        <v>83</v>
      </c>
    </row>
    <row r="65" spans="1:14" x14ac:dyDescent="0.35">
      <c r="B65" t="s">
        <v>83</v>
      </c>
    </row>
    <row r="66" spans="1:14" x14ac:dyDescent="0.35">
      <c r="B66" t="s">
        <v>83</v>
      </c>
    </row>
    <row r="67" spans="1:14" x14ac:dyDescent="0.35">
      <c r="B67" t="s">
        <v>83</v>
      </c>
    </row>
    <row r="69" spans="1:14" ht="34.75" customHeight="1" x14ac:dyDescent="0.35">
      <c r="A69" s="34" t="s">
        <v>81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"/>
    </row>
    <row r="70" spans="1:14" x14ac:dyDescent="0.35">
      <c r="A70" s="27" t="s">
        <v>64</v>
      </c>
      <c r="B70" s="22" t="s">
        <v>65</v>
      </c>
      <c r="C70" s="22" t="s">
        <v>66</v>
      </c>
      <c r="D70" s="22" t="s">
        <v>67</v>
      </c>
      <c r="E70" s="22" t="s">
        <v>68</v>
      </c>
      <c r="F70" s="22" t="s">
        <v>69</v>
      </c>
      <c r="G70" s="22" t="s">
        <v>70</v>
      </c>
      <c r="H70" s="22" t="s">
        <v>71</v>
      </c>
      <c r="I70" s="22" t="s">
        <v>72</v>
      </c>
      <c r="J70" s="22" t="s">
        <v>73</v>
      </c>
      <c r="K70" s="22" t="s">
        <v>74</v>
      </c>
      <c r="L70" s="22" t="s">
        <v>75</v>
      </c>
      <c r="M70" s="23" t="s">
        <v>76</v>
      </c>
      <c r="N70" s="9"/>
    </row>
    <row r="71" spans="1:14" x14ac:dyDescent="0.35">
      <c r="A71" s="28">
        <v>2017</v>
      </c>
      <c r="B71" t="s">
        <v>79</v>
      </c>
      <c r="C71" t="s">
        <v>79</v>
      </c>
      <c r="D71" t="s">
        <v>79</v>
      </c>
      <c r="E71" t="s">
        <v>79</v>
      </c>
      <c r="F71" t="s">
        <v>79</v>
      </c>
      <c r="G71" t="s">
        <v>79</v>
      </c>
      <c r="H71" s="39">
        <v>378.41666666666652</v>
      </c>
      <c r="I71" s="39">
        <v>59</v>
      </c>
      <c r="J71" s="39">
        <v>228.79166666666652</v>
      </c>
      <c r="K71" s="39">
        <v>302.79166666666652</v>
      </c>
      <c r="L71" s="39">
        <v>91.458333333333485</v>
      </c>
      <c r="M71" s="39">
        <v>72.416666666666515</v>
      </c>
      <c r="N71" s="10"/>
    </row>
    <row r="72" spans="1:14" x14ac:dyDescent="0.35">
      <c r="A72" s="28">
        <v>2018</v>
      </c>
      <c r="B72" s="39">
        <v>-302.08333333333348</v>
      </c>
      <c r="C72" s="39">
        <v>-574.04166666666652</v>
      </c>
      <c r="D72" s="1">
        <v>-296.70833333333348</v>
      </c>
      <c r="E72" s="1">
        <v>-334.16666666666652</v>
      </c>
      <c r="F72" s="1">
        <v>135.25</v>
      </c>
      <c r="G72" s="1">
        <v>221.58333333333348</v>
      </c>
      <c r="H72" s="1">
        <v>270.91666666666652</v>
      </c>
      <c r="I72" s="1">
        <v>219.79166666666652</v>
      </c>
      <c r="J72" s="1">
        <v>319.54166666666652</v>
      </c>
      <c r="K72" s="1">
        <v>395.83333333333348</v>
      </c>
      <c r="L72" s="1">
        <v>-14.25</v>
      </c>
      <c r="M72" s="8">
        <v>-79.458333333333485</v>
      </c>
      <c r="N72" s="10"/>
    </row>
    <row r="73" spans="1:14" x14ac:dyDescent="0.35">
      <c r="A73" s="28">
        <v>2019</v>
      </c>
      <c r="B73" s="1">
        <v>-308.70833333333348</v>
      </c>
      <c r="C73" s="1">
        <v>-727.125</v>
      </c>
      <c r="D73" s="1">
        <v>-311.08333333333348</v>
      </c>
      <c r="E73" s="1">
        <v>-180.29166666666652</v>
      </c>
      <c r="F73" s="1">
        <v>163</v>
      </c>
      <c r="G73" s="1">
        <v>192.04166666666652</v>
      </c>
      <c r="H73" s="1">
        <v>270.29166666666652</v>
      </c>
      <c r="I73" s="1">
        <v>376</v>
      </c>
      <c r="J73" s="1">
        <v>263.91666666666652</v>
      </c>
      <c r="K73" s="1">
        <v>253.16666666666652</v>
      </c>
      <c r="L73" s="1">
        <v>45.958333333333485</v>
      </c>
      <c r="M73" s="8">
        <v>-20.208333333333485</v>
      </c>
      <c r="N73" s="10"/>
    </row>
    <row r="74" spans="1:14" x14ac:dyDescent="0.35">
      <c r="A74" s="28">
        <v>2020</v>
      </c>
      <c r="B74" s="1">
        <v>-399.29166666666652</v>
      </c>
      <c r="C74" s="1">
        <v>-457.33333333333348</v>
      </c>
      <c r="D74" s="1">
        <v>-534.66666666666652</v>
      </c>
      <c r="E74" s="1">
        <v>-878.54166666666652</v>
      </c>
      <c r="F74" s="1">
        <v>-135.29166666666652</v>
      </c>
      <c r="G74" s="1">
        <v>489.16666666666652</v>
      </c>
      <c r="H74" s="1">
        <v>528.125</v>
      </c>
      <c r="I74" s="1">
        <v>631.29166666666652</v>
      </c>
      <c r="J74" s="1">
        <v>462.33333333333348</v>
      </c>
      <c r="K74" s="1">
        <v>496.875</v>
      </c>
      <c r="L74" s="1">
        <v>-1.1666666666665151</v>
      </c>
      <c r="M74" s="8">
        <v>-243.79166666666652</v>
      </c>
      <c r="N74" s="29" t="s">
        <v>78</v>
      </c>
    </row>
    <row r="75" spans="1:14" x14ac:dyDescent="0.35">
      <c r="A75" s="28">
        <v>2021</v>
      </c>
      <c r="B75" s="1">
        <v>-390.83333333333348</v>
      </c>
      <c r="C75" s="1">
        <v>-1024.625</v>
      </c>
      <c r="D75" s="1">
        <v>-338.95833333333348</v>
      </c>
      <c r="E75" s="1">
        <v>14.708333333333485</v>
      </c>
      <c r="F75" s="1">
        <v>222.5</v>
      </c>
      <c r="G75" s="1">
        <v>207.16666666666652</v>
      </c>
      <c r="H75" t="s">
        <v>79</v>
      </c>
      <c r="I75" t="s">
        <v>79</v>
      </c>
      <c r="J75" t="s">
        <v>79</v>
      </c>
      <c r="K75" t="s">
        <v>79</v>
      </c>
      <c r="L75" t="s">
        <v>79</v>
      </c>
      <c r="M75" s="5" t="s">
        <v>79</v>
      </c>
      <c r="N75" s="30"/>
    </row>
    <row r="76" spans="1:14" ht="21" customHeight="1" x14ac:dyDescent="0.35">
      <c r="A76" s="24" t="s">
        <v>77</v>
      </c>
      <c r="B76" s="1">
        <v>-350.22916666666674</v>
      </c>
      <c r="C76" s="1">
        <v>-695.78125</v>
      </c>
      <c r="D76" s="1">
        <v>-370.35416666666674</v>
      </c>
      <c r="E76" s="39">
        <v>-344.57291666666652</v>
      </c>
      <c r="F76" s="39">
        <v>96.364583333333371</v>
      </c>
      <c r="G76" s="39">
        <v>277.48958333333326</v>
      </c>
      <c r="H76" s="39">
        <v>361.93749999999989</v>
      </c>
      <c r="I76" s="39">
        <v>321.52083333333326</v>
      </c>
      <c r="J76" s="39">
        <v>318.64583333333326</v>
      </c>
      <c r="K76" s="39">
        <v>362.16666666666663</v>
      </c>
      <c r="L76" s="39">
        <v>30.500000000000114</v>
      </c>
      <c r="M76" s="39">
        <v>-67.760416666666742</v>
      </c>
      <c r="N76" s="11">
        <v>-5.0060763888889142</v>
      </c>
    </row>
    <row r="77" spans="1:14" ht="19.25" customHeight="1" x14ac:dyDescent="0.35">
      <c r="A77" s="25"/>
      <c r="B77" s="7">
        <v>-345.22309027777783</v>
      </c>
      <c r="C77" s="39">
        <v>-690.77517361111109</v>
      </c>
      <c r="D77" s="39">
        <v>-365.34809027777783</v>
      </c>
      <c r="E77" s="39">
        <v>-339.5668402777776</v>
      </c>
      <c r="F77" s="39">
        <v>101.37065972222229</v>
      </c>
      <c r="G77" s="39">
        <v>282.49565972222217</v>
      </c>
      <c r="H77" s="39">
        <v>366.9435763888888</v>
      </c>
      <c r="I77" s="39">
        <v>326.52690972222217</v>
      </c>
      <c r="J77" s="39">
        <v>323.65190972222217</v>
      </c>
      <c r="K77" s="39">
        <v>367.17274305555554</v>
      </c>
      <c r="L77" s="39">
        <v>35.506076388889028</v>
      </c>
      <c r="M77" s="39">
        <v>-62.754340277777828</v>
      </c>
      <c r="N77" s="12"/>
    </row>
    <row r="81" spans="1:7" ht="43.75" customHeight="1" x14ac:dyDescent="0.45">
      <c r="A81" s="31" t="s">
        <v>80</v>
      </c>
      <c r="B81" s="32"/>
      <c r="C81" s="32"/>
      <c r="D81" s="32"/>
      <c r="E81" s="32"/>
      <c r="F81" s="32"/>
      <c r="G81" s="33"/>
    </row>
    <row r="82" spans="1:7" ht="37.75" customHeight="1" x14ac:dyDescent="0.35">
      <c r="A82" s="18" t="s">
        <v>0</v>
      </c>
      <c r="B82" s="19" t="s">
        <v>1</v>
      </c>
      <c r="C82" s="20"/>
      <c r="D82" s="20"/>
      <c r="E82" s="20"/>
      <c r="F82" s="20" t="s">
        <v>2</v>
      </c>
      <c r="G82" s="21" t="s">
        <v>3</v>
      </c>
    </row>
    <row r="83" spans="1:7" x14ac:dyDescent="0.35">
      <c r="A83" s="4" t="s">
        <v>4</v>
      </c>
      <c r="B83">
        <v>3034</v>
      </c>
      <c r="C83" t="s">
        <v>79</v>
      </c>
      <c r="D83" t="s">
        <v>79</v>
      </c>
      <c r="E83" s="39" cm="1">
        <f t="array" ref="E83:E94">TRANSPOSE(B$77:M$77)</f>
        <v>-345.22309027777783</v>
      </c>
      <c r="F83" s="40" t="s">
        <v>79</v>
      </c>
      <c r="G83" s="39"/>
    </row>
    <row r="84" spans="1:7" x14ac:dyDescent="0.35">
      <c r="A84" s="4" t="s">
        <v>5</v>
      </c>
      <c r="B84">
        <v>2748</v>
      </c>
      <c r="C84" t="s">
        <v>79</v>
      </c>
      <c r="D84" t="s">
        <v>79</v>
      </c>
      <c r="E84" s="39">
        <v>-690.77517361111109</v>
      </c>
      <c r="F84" s="40" t="s">
        <v>79</v>
      </c>
      <c r="G84" s="39"/>
    </row>
    <row r="85" spans="1:7" x14ac:dyDescent="0.35">
      <c r="A85" s="4" t="s">
        <v>6</v>
      </c>
      <c r="B85">
        <v>3164</v>
      </c>
      <c r="C85" t="s">
        <v>79</v>
      </c>
      <c r="D85" t="s">
        <v>79</v>
      </c>
      <c r="E85" s="39">
        <v>-365.34809027777783</v>
      </c>
      <c r="F85" s="40" t="s">
        <v>79</v>
      </c>
      <c r="G85" s="39"/>
    </row>
    <row r="86" spans="1:7" x14ac:dyDescent="0.35">
      <c r="A86" s="4" t="s">
        <v>7</v>
      </c>
      <c r="B86">
        <v>3238</v>
      </c>
      <c r="C86" t="s">
        <v>79</v>
      </c>
      <c r="D86" t="s">
        <v>79</v>
      </c>
      <c r="E86" s="39">
        <v>-339.5668402777776</v>
      </c>
      <c r="F86" s="40" t="s">
        <v>79</v>
      </c>
      <c r="G86" s="39"/>
    </row>
    <row r="87" spans="1:7" x14ac:dyDescent="0.35">
      <c r="A87" s="4" t="s">
        <v>8</v>
      </c>
      <c r="B87">
        <v>3416</v>
      </c>
      <c r="C87" t="s">
        <v>79</v>
      </c>
      <c r="D87" t="s">
        <v>79</v>
      </c>
      <c r="E87" s="39">
        <v>101.37065972222229</v>
      </c>
      <c r="F87" s="40" t="s">
        <v>79</v>
      </c>
      <c r="G87" s="39"/>
    </row>
    <row r="88" spans="1:7" x14ac:dyDescent="0.35">
      <c r="A88" s="4" t="s">
        <v>9</v>
      </c>
      <c r="B88">
        <v>3492</v>
      </c>
      <c r="C88" t="s">
        <v>79</v>
      </c>
      <c r="D88" t="s">
        <v>79</v>
      </c>
      <c r="E88" s="39">
        <v>282.49565972222217</v>
      </c>
      <c r="F88" s="40" t="s">
        <v>79</v>
      </c>
      <c r="G88" s="39"/>
    </row>
    <row r="89" spans="1:7" x14ac:dyDescent="0.35">
      <c r="A89" s="4" t="s">
        <v>10</v>
      </c>
      <c r="B89">
        <v>3730</v>
      </c>
      <c r="C89" s="1">
        <v>3351.5833333333335</v>
      </c>
      <c r="D89" s="1">
        <v>378.41666666666652</v>
      </c>
      <c r="E89" s="39">
        <v>366.9435763888888</v>
      </c>
      <c r="F89" s="39"/>
      <c r="G89" s="39"/>
    </row>
    <row r="90" spans="1:7" x14ac:dyDescent="0.35">
      <c r="A90" s="4" t="s">
        <v>11</v>
      </c>
      <c r="B90">
        <v>3409</v>
      </c>
      <c r="C90" s="1">
        <v>3350</v>
      </c>
      <c r="D90" s="1">
        <v>59</v>
      </c>
      <c r="E90" s="39">
        <v>326.52690972222217</v>
      </c>
      <c r="F90" s="39"/>
      <c r="G90" s="39"/>
    </row>
    <row r="91" spans="1:7" x14ac:dyDescent="0.35">
      <c r="A91" s="4" t="s">
        <v>12</v>
      </c>
      <c r="B91">
        <v>3572</v>
      </c>
      <c r="C91" s="1">
        <v>3343.2083333333335</v>
      </c>
      <c r="D91" s="1">
        <v>228.79166666666652</v>
      </c>
      <c r="E91" s="39">
        <v>323.65190972222217</v>
      </c>
      <c r="F91" s="39"/>
      <c r="G91" s="39"/>
    </row>
    <row r="92" spans="1:7" x14ac:dyDescent="0.35">
      <c r="A92" s="4" t="s">
        <v>13</v>
      </c>
      <c r="B92">
        <v>3629</v>
      </c>
      <c r="C92" s="1">
        <v>3326.2083333333335</v>
      </c>
      <c r="D92" s="1">
        <v>302.79166666666652</v>
      </c>
      <c r="E92" s="39">
        <v>367.17274305555554</v>
      </c>
      <c r="F92" s="39"/>
      <c r="G92" s="39"/>
    </row>
    <row r="93" spans="1:7" x14ac:dyDescent="0.35">
      <c r="A93" s="4" t="s">
        <v>14</v>
      </c>
      <c r="B93">
        <v>3408</v>
      </c>
      <c r="C93" s="1">
        <v>3316.5416666666665</v>
      </c>
      <c r="D93" s="1">
        <v>91.458333333333485</v>
      </c>
      <c r="E93" s="39">
        <v>35.506076388889028</v>
      </c>
      <c r="F93" s="39"/>
      <c r="G93" s="39"/>
    </row>
    <row r="94" spans="1:7" x14ac:dyDescent="0.35">
      <c r="A94" s="4" t="s">
        <v>15</v>
      </c>
      <c r="B94">
        <v>3391</v>
      </c>
      <c r="C94" s="1">
        <v>3318.5833333333335</v>
      </c>
      <c r="D94" s="1">
        <v>72.416666666666515</v>
      </c>
      <c r="E94" s="39">
        <v>-62.754340277777828</v>
      </c>
      <c r="F94" s="39"/>
      <c r="G94" s="39"/>
    </row>
    <row r="95" spans="1:7" x14ac:dyDescent="0.35">
      <c r="A95" s="4" t="s">
        <v>16</v>
      </c>
      <c r="B95">
        <v>3010</v>
      </c>
      <c r="C95" s="1">
        <v>3312.0833333333335</v>
      </c>
      <c r="D95" s="1">
        <v>-302.08333333333348</v>
      </c>
      <c r="E95" s="39" cm="1">
        <f t="array" ref="E95:E106">TRANSPOSE(B$77:M$77)</f>
        <v>-345.22309027777783</v>
      </c>
      <c r="F95" s="39"/>
      <c r="G95" s="39"/>
    </row>
    <row r="96" spans="1:7" x14ac:dyDescent="0.35">
      <c r="A96" s="4" t="s">
        <v>17</v>
      </c>
      <c r="B96">
        <v>2734</v>
      </c>
      <c r="C96" s="1">
        <v>3308.0416666666665</v>
      </c>
      <c r="D96" s="1">
        <v>-574.04166666666652</v>
      </c>
      <c r="E96" s="39">
        <v>-690.77517361111109</v>
      </c>
      <c r="F96" s="39"/>
      <c r="G96" s="39"/>
    </row>
    <row r="97" spans="1:13" x14ac:dyDescent="0.35">
      <c r="A97" s="4" t="s">
        <v>18</v>
      </c>
      <c r="B97">
        <v>3015</v>
      </c>
      <c r="C97" s="1">
        <v>3311.7083333333335</v>
      </c>
      <c r="D97" s="1">
        <v>-296.70833333333348</v>
      </c>
      <c r="E97" s="39">
        <v>-365.34809027777783</v>
      </c>
      <c r="F97" s="39"/>
      <c r="G97" s="39"/>
    </row>
    <row r="98" spans="1:13" x14ac:dyDescent="0.35">
      <c r="A98" s="4" t="s">
        <v>19</v>
      </c>
      <c r="B98">
        <v>2979</v>
      </c>
      <c r="C98" s="1">
        <v>3313.1666666666665</v>
      </c>
      <c r="D98" s="1">
        <v>-334.16666666666652</v>
      </c>
      <c r="E98" s="39">
        <v>-339.5668402777776</v>
      </c>
      <c r="F98" s="39"/>
      <c r="G98" s="39"/>
    </row>
    <row r="99" spans="1:13" x14ac:dyDescent="0.35">
      <c r="A99" s="4" t="s">
        <v>20</v>
      </c>
      <c r="B99">
        <v>3443</v>
      </c>
      <c r="C99" s="1">
        <v>3307.75</v>
      </c>
      <c r="D99" s="1">
        <v>135.25</v>
      </c>
      <c r="E99" s="1">
        <v>101.37065972222229</v>
      </c>
      <c r="F99" s="1">
        <v>33.879340277777715</v>
      </c>
      <c r="G99" s="8">
        <v>3341.6293402777778</v>
      </c>
      <c r="H99" s="1"/>
    </row>
    <row r="100" spans="1:13" x14ac:dyDescent="0.35">
      <c r="A100" s="4" t="s">
        <v>21</v>
      </c>
      <c r="B100">
        <v>3514</v>
      </c>
      <c r="C100" s="1">
        <v>3292.4166666666665</v>
      </c>
      <c r="D100" s="1">
        <v>221.58333333333348</v>
      </c>
      <c r="E100" s="1">
        <v>282.49565972222217</v>
      </c>
      <c r="F100" s="1">
        <v>-60.912326388888687</v>
      </c>
      <c r="G100" s="8">
        <v>3231.5043402777778</v>
      </c>
    </row>
    <row r="101" spans="1:13" x14ac:dyDescent="0.35">
      <c r="A101" s="4" t="s">
        <v>22</v>
      </c>
      <c r="B101">
        <v>3552</v>
      </c>
      <c r="C101" s="1">
        <v>3281.0833333333335</v>
      </c>
      <c r="D101" s="1">
        <v>270.91666666666652</v>
      </c>
      <c r="E101" s="1">
        <v>366.9435763888888</v>
      </c>
      <c r="F101" s="1">
        <v>-96.026909722222285</v>
      </c>
      <c r="G101" s="8">
        <v>3185.0564236111113</v>
      </c>
    </row>
    <row r="102" spans="1:13" x14ac:dyDescent="0.35">
      <c r="A102" s="4" t="s">
        <v>23</v>
      </c>
      <c r="B102">
        <v>3490</v>
      </c>
      <c r="C102" s="1">
        <v>3270.2083333333335</v>
      </c>
      <c r="D102" s="1">
        <v>219.79166666666652</v>
      </c>
      <c r="E102" s="1">
        <v>326.52690972222217</v>
      </c>
      <c r="F102" s="1">
        <v>-106.73524305555566</v>
      </c>
      <c r="G102" s="8">
        <v>3163.4730902777778</v>
      </c>
    </row>
    <row r="103" spans="1:13" x14ac:dyDescent="0.35">
      <c r="A103" s="4" t="s">
        <v>24</v>
      </c>
      <c r="B103">
        <v>3579</v>
      </c>
      <c r="C103" s="1">
        <v>3259.4583333333335</v>
      </c>
      <c r="D103" s="1">
        <v>319.54166666666652</v>
      </c>
      <c r="E103" s="1">
        <v>323.65190972222217</v>
      </c>
      <c r="F103" s="1">
        <v>-4.1102430555556566</v>
      </c>
      <c r="G103" s="8">
        <v>3255.3480902777778</v>
      </c>
    </row>
    <row r="104" spans="1:13" x14ac:dyDescent="0.35">
      <c r="A104" s="4" t="s">
        <v>25</v>
      </c>
      <c r="B104">
        <v>3657</v>
      </c>
      <c r="C104" s="1">
        <v>3261.1666666666665</v>
      </c>
      <c r="D104" s="1">
        <v>395.83333333333348</v>
      </c>
      <c r="E104" s="1">
        <v>367.17274305555554</v>
      </c>
      <c r="F104" s="1">
        <v>28.660590277777942</v>
      </c>
      <c r="G104" s="8">
        <v>3289.8272569444443</v>
      </c>
    </row>
    <row r="105" spans="1:13" x14ac:dyDescent="0.35">
      <c r="A105" s="4" t="s">
        <v>26</v>
      </c>
      <c r="B105">
        <v>3250</v>
      </c>
      <c r="C105" s="1">
        <v>3264.25</v>
      </c>
      <c r="D105" s="1">
        <v>-14.25</v>
      </c>
      <c r="E105" s="1">
        <v>35.506076388889028</v>
      </c>
      <c r="F105" s="1">
        <v>-49.756076388889028</v>
      </c>
      <c r="G105" s="8">
        <v>3214.4939236111109</v>
      </c>
    </row>
    <row r="106" spans="1:13" x14ac:dyDescent="0.35">
      <c r="A106" s="4" t="s">
        <v>27</v>
      </c>
      <c r="B106">
        <v>3181</v>
      </c>
      <c r="C106" s="1">
        <v>3260.4583333333335</v>
      </c>
      <c r="D106" s="1">
        <v>-79.458333333333485</v>
      </c>
      <c r="E106" s="1">
        <v>-62.754340277777828</v>
      </c>
      <c r="F106" s="1">
        <v>-16.703993055555657</v>
      </c>
      <c r="G106" s="8">
        <v>3243.7543402777778</v>
      </c>
    </row>
    <row r="107" spans="1:13" x14ac:dyDescent="0.35">
      <c r="A107" s="6"/>
      <c r="B107" s="13"/>
      <c r="C107" s="13"/>
      <c r="D107" s="13"/>
      <c r="E107" s="13"/>
      <c r="F107" s="13"/>
      <c r="G107" s="14"/>
    </row>
    <row r="112" spans="1:13" x14ac:dyDescent="0.35">
      <c r="H112" s="1"/>
      <c r="I112" s="1"/>
      <c r="J112" s="1"/>
      <c r="K112" s="1"/>
      <c r="L112" s="1"/>
      <c r="M112" s="1"/>
    </row>
    <row r="113" spans="1:14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4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4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4" ht="21.65" customHeight="1" x14ac:dyDescent="0.35">
      <c r="B116" s="1"/>
      <c r="C116" s="1"/>
      <c r="D116" s="1"/>
      <c r="E116" s="1"/>
      <c r="F116" s="1"/>
      <c r="G116" s="1"/>
    </row>
    <row r="117" spans="1:14" x14ac:dyDescent="0.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4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</sheetData>
  <mergeCells count="4">
    <mergeCell ref="A1:D1"/>
    <mergeCell ref="A69:M69"/>
    <mergeCell ref="N74:N75"/>
    <mergeCell ref="A81:G8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1fb8133-dfcb-4ab3-83e1-bcafde3f766a"/>
    <ds:schemaRef ds:uri="ca1cba85-b018-40b2-9d9a-243cd5b6fae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2026-09-24T15:42:28Z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2025-09-25T19:54:43Z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b68b6030-5548-49c9-ac2d-134bf5eb9b8d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