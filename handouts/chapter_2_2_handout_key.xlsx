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802FEDA7-08AA-4E46-9226-E629EC25E0EE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2" l="1"/>
  <c r="D57" i="2"/>
  <c r="E57" i="2" s="1"/>
  <c r="D56" i="2"/>
  <c r="D55" i="2"/>
  <c r="E54" i="2"/>
  <c r="D54" i="2"/>
  <c r="F53" i="2"/>
  <c r="E53" i="2"/>
  <c r="D53" i="2"/>
  <c r="G53" i="2" s="1"/>
  <c r="F52" i="2"/>
  <c r="E52" i="2"/>
  <c r="D52" i="2"/>
  <c r="G52" i="2" s="1"/>
  <c r="F51" i="2"/>
  <c r="D51" i="2"/>
  <c r="E51" i="2" s="1"/>
  <c r="F50" i="2"/>
  <c r="G50" i="2" s="1"/>
  <c r="E50" i="2"/>
  <c r="D50" i="2"/>
  <c r="F49" i="2"/>
  <c r="E49" i="2"/>
  <c r="D49" i="2"/>
  <c r="G49" i="2" s="1"/>
  <c r="F48" i="2"/>
  <c r="F58" i="2" s="1"/>
  <c r="D48" i="2"/>
  <c r="D58" i="2" s="1"/>
  <c r="C49" i="2"/>
  <c r="C50" i="2"/>
  <c r="C51" i="2"/>
  <c r="C52" i="2"/>
  <c r="C53" i="2"/>
  <c r="C48" i="2"/>
  <c r="I43" i="2"/>
  <c r="I28" i="2"/>
  <c r="I42" i="2"/>
  <c r="I27" i="2"/>
  <c r="G28" i="2"/>
  <c r="F28" i="2"/>
  <c r="C28" i="2"/>
  <c r="G22" i="2"/>
  <c r="G23" i="2"/>
  <c r="G21" i="2"/>
  <c r="F22" i="2"/>
  <c r="F23" i="2"/>
  <c r="F21" i="2"/>
  <c r="C22" i="2"/>
  <c r="C23" i="2"/>
  <c r="C21" i="2"/>
  <c r="I13" i="2"/>
  <c r="I5" i="2"/>
  <c r="I12" i="2"/>
  <c r="G4" i="2"/>
  <c r="G5" i="2"/>
  <c r="G6" i="2"/>
  <c r="G7" i="2"/>
  <c r="G8" i="2"/>
  <c r="G9" i="2"/>
  <c r="G10" i="2"/>
  <c r="G11" i="2"/>
  <c r="G3" i="2"/>
  <c r="F4" i="2"/>
  <c r="F5" i="2"/>
  <c r="F6" i="2"/>
  <c r="F7" i="2"/>
  <c r="F8" i="2"/>
  <c r="F9" i="2"/>
  <c r="F10" i="2"/>
  <c r="F11" i="2"/>
  <c r="F3" i="2"/>
  <c r="F13" i="2" s="1"/>
  <c r="E4" i="2"/>
  <c r="E5" i="2"/>
  <c r="E6" i="2"/>
  <c r="E7" i="2"/>
  <c r="E8" i="2"/>
  <c r="E9" i="2"/>
  <c r="E10" i="2"/>
  <c r="E11" i="2"/>
  <c r="E12" i="2"/>
  <c r="E3" i="2"/>
  <c r="E13" i="2" s="1"/>
  <c r="G13" i="2"/>
  <c r="D13" i="2"/>
  <c r="C13" i="2"/>
  <c r="B13" i="2"/>
  <c r="D4" i="2"/>
  <c r="D5" i="2"/>
  <c r="D6" i="2"/>
  <c r="D7" i="2"/>
  <c r="D8" i="2"/>
  <c r="D9" i="2"/>
  <c r="D10" i="2"/>
  <c r="D11" i="2"/>
  <c r="D12" i="2"/>
  <c r="D3" i="2"/>
  <c r="I3" i="2"/>
  <c r="E55" i="2" l="1"/>
  <c r="G51" i="2"/>
  <c r="G48" i="2"/>
  <c r="G58" i="2" s="1"/>
  <c r="I57" i="2" s="1"/>
  <c r="I58" i="2" s="1"/>
  <c r="E48" i="2"/>
  <c r="E56" i="2"/>
  <c r="E58" i="2" l="1"/>
</calcChain>
</file>

<file path=xl/sharedStrings.xml><?xml version="1.0" encoding="utf-8"?>
<sst xmlns="http://schemas.openxmlformats.org/spreadsheetml/2006/main" count="46" uniqueCount="9">
  <si>
    <t>sum</t>
  </si>
  <si>
    <t>t</t>
  </si>
  <si>
    <t xml:space="preserve">
</t>
  </si>
  <si>
    <t>NA</t>
  </si>
  <si>
    <t>Lag k=2</t>
  </si>
  <si>
    <t>Na</t>
  </si>
  <si>
    <t>Lag k=3</t>
  </si>
  <si>
    <t>Lag k=4</t>
  </si>
  <si>
    <t>Lag 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</si>
</sst>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Source Sans Pro"/>
      <family val="2"/>
    </font>
    <font>
      <sz val="11"/>
      <color rgb="FF56B4E9"/>
      <name val="Source Sans Pro"/>
      <family val="2"/>
    </font>
    <font>
      <sz val="11"/>
      <color rgb="FF009E73"/>
      <name val="Source Sans Pro"/>
      <family val="2"/>
    </font>
    <font>
      <sz val="11"/>
      <color rgb="FFF0E442"/>
      <name val="Source Sans Pro"/>
      <family val="2"/>
    </font>
    <font>
      <sz val="11"/>
      <color rgb="FF0072B2"/>
      <name val="Source Sans Pro"/>
      <family val="2"/>
    </font>
    <font>
      <sz val="11"/>
      <color rgb="FFD55E00"/>
      <name val="Source Sans Pro"/>
      <family val="2"/>
    </font>
    <font>
      <sz val="11"/>
      <color rgb="FFF5C710"/>
      <name val="Source Sans Pro"/>
      <family val="2"/>
    </font>
    <font>
      <sz val="11"/>
      <color rgb="FFCC79A7"/>
      <name val="Source Sans Pro"/>
      <family val="2"/>
    </font>
    <font>
      <sz val="11"/>
      <color rgb="FF999999"/>
      <name val="Source Sans Pro"/>
      <family val="2"/>
    </font>
    <font>
      <sz val="11"/>
      <color rgb="FFE69F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33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33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249714</xdr:colOff>
      <xdr:row>1</xdr:row>
      <xdr:rowOff>37973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888014" y="6551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888014" y="6551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𝑥_(𝑡+1)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58774" y="67043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58774" y="67043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𝑥_(𝑡+1)−𝑥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1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66494" y="68567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66494" y="68567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̅)(𝑥〗_(𝑡+1)−𝑥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16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68720DC-8E62-4880-9557-AB36B4287C6A}"/>
                </a:ext>
              </a:extLst>
            </xdr:cNvPr>
            <xdr:cNvSpPr txBox="1"/>
          </xdr:nvSpPr>
          <xdr:spPr>
            <a:xfrm>
              <a:off x="113363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68720DC-8E62-4880-9557-AB36B4287C6A}"/>
                </a:ext>
              </a:extLst>
            </xdr:cNvPr>
            <xdr:cNvSpPr txBox="1"/>
          </xdr:nvSpPr>
          <xdr:spPr>
            <a:xfrm>
              <a:off x="113363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257334</xdr:colOff>
      <xdr:row>16</xdr:row>
      <xdr:rowOff>45593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ADDF57-BDD7-47B3-8A79-5CBA241CBD8E}"/>
                </a:ext>
              </a:extLst>
            </xdr:cNvPr>
            <xdr:cNvSpPr txBox="1"/>
          </xdr:nvSpPr>
          <xdr:spPr>
            <a:xfrm>
              <a:off x="1927384" y="39889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+2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ADDF57-BDD7-47B3-8A79-5CBA241CBD8E}"/>
                </a:ext>
              </a:extLst>
            </xdr:cNvPr>
            <xdr:cNvSpPr txBox="1"/>
          </xdr:nvSpPr>
          <xdr:spPr>
            <a:xfrm>
              <a:off x="1927384" y="39889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𝑥_(𝑡+2)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16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C730E3D-20FA-42AC-A051-091E4088C7BF}"/>
                </a:ext>
              </a:extLst>
            </xdr:cNvPr>
            <xdr:cNvSpPr txBox="1"/>
          </xdr:nvSpPr>
          <xdr:spPr>
            <a:xfrm>
              <a:off x="256619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C730E3D-20FA-42AC-A051-091E4088C7BF}"/>
                </a:ext>
              </a:extLst>
            </xdr:cNvPr>
            <xdr:cNvSpPr txBox="1"/>
          </xdr:nvSpPr>
          <xdr:spPr>
            <a:xfrm>
              <a:off x="256619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16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8643FEC-D8CD-4A7E-91A5-B8F7F9B908DB}"/>
                </a:ext>
              </a:extLst>
            </xdr:cNvPr>
            <xdr:cNvSpPr txBox="1"/>
          </xdr:nvSpPr>
          <xdr:spPr>
            <a:xfrm>
              <a:off x="333581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8643FEC-D8CD-4A7E-91A5-B8F7F9B908DB}"/>
                </a:ext>
              </a:extLst>
            </xdr:cNvPr>
            <xdr:cNvSpPr txBox="1"/>
          </xdr:nvSpPr>
          <xdr:spPr>
            <a:xfrm>
              <a:off x="333581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16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2AC9BF-3FBA-4940-B046-B1D3FEF60F8E}"/>
                </a:ext>
              </a:extLst>
            </xdr:cNvPr>
            <xdr:cNvSpPr txBox="1"/>
          </xdr:nvSpPr>
          <xdr:spPr>
            <a:xfrm>
              <a:off x="4226084" y="39965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2AC9BF-3FBA-4940-B046-B1D3FEF60F8E}"/>
                </a:ext>
              </a:extLst>
            </xdr:cNvPr>
            <xdr:cNvSpPr txBox="1"/>
          </xdr:nvSpPr>
          <xdr:spPr>
            <a:xfrm>
              <a:off x="4226084" y="39965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𝑥_(𝑡+2)−𝑥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16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3E61EB3-AF88-4886-910C-F86B4CB6302C}"/>
                </a:ext>
              </a:extLst>
            </xdr:cNvPr>
            <xdr:cNvSpPr txBox="1"/>
          </xdr:nvSpPr>
          <xdr:spPr>
            <a:xfrm>
              <a:off x="5050314" y="40118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3E61EB3-AF88-4886-910C-F86B4CB6302C}"/>
                </a:ext>
              </a:extLst>
            </xdr:cNvPr>
            <xdr:cNvSpPr txBox="1"/>
          </xdr:nvSpPr>
          <xdr:spPr>
            <a:xfrm>
              <a:off x="5050314" y="40118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̅)(𝑥〗_(𝑡+2)−𝑥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31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8849047-EA9D-4AF8-AEE9-FA157B2F9BDD}"/>
                </a:ext>
              </a:extLst>
            </xdr:cNvPr>
            <xdr:cNvSpPr txBox="1"/>
          </xdr:nvSpPr>
          <xdr:spPr>
            <a:xfrm>
              <a:off x="1133634" y="4114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8849047-EA9D-4AF8-AEE9-FA157B2F9BDD}"/>
                </a:ext>
              </a:extLst>
            </xdr:cNvPr>
            <xdr:cNvSpPr txBox="1"/>
          </xdr:nvSpPr>
          <xdr:spPr>
            <a:xfrm>
              <a:off x="1133634" y="411467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264954</xdr:colOff>
      <xdr:row>31</xdr:row>
      <xdr:rowOff>45593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91AE6BF-0D64-497D-A577-2E906732EE18}"/>
                </a:ext>
              </a:extLst>
            </xdr:cNvPr>
            <xdr:cNvSpPr txBox="1"/>
          </xdr:nvSpPr>
          <xdr:spPr>
            <a:xfrm>
              <a:off x="1935004" y="68972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+3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91AE6BF-0D64-497D-A577-2E906732EE18}"/>
                </a:ext>
              </a:extLst>
            </xdr:cNvPr>
            <xdr:cNvSpPr txBox="1"/>
          </xdr:nvSpPr>
          <xdr:spPr>
            <a:xfrm>
              <a:off x="1935004" y="689724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𝑥_(𝑡+3)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31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28DBE78-BB03-4911-B04E-8350F626EEC8}"/>
                </a:ext>
              </a:extLst>
            </xdr:cNvPr>
            <xdr:cNvSpPr txBox="1"/>
          </xdr:nvSpPr>
          <xdr:spPr>
            <a:xfrm>
              <a:off x="2566194" y="412991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28DBE78-BB03-4911-B04E-8350F626EEC8}"/>
                </a:ext>
              </a:extLst>
            </xdr:cNvPr>
            <xdr:cNvSpPr txBox="1"/>
          </xdr:nvSpPr>
          <xdr:spPr>
            <a:xfrm>
              <a:off x="2566194" y="412991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31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EDFD80F-7C71-47F2-9353-31E79B0CB030}"/>
                </a:ext>
              </a:extLst>
            </xdr:cNvPr>
            <xdr:cNvSpPr txBox="1"/>
          </xdr:nvSpPr>
          <xdr:spPr>
            <a:xfrm>
              <a:off x="3335814" y="412229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EDFD80F-7C71-47F2-9353-31E79B0CB030}"/>
                </a:ext>
              </a:extLst>
            </xdr:cNvPr>
            <xdr:cNvSpPr txBox="1"/>
          </xdr:nvSpPr>
          <xdr:spPr>
            <a:xfrm>
              <a:off x="3335814" y="412229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31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1DC889E-C8E9-49F5-8B46-F74B313BDF2E}"/>
                </a:ext>
              </a:extLst>
            </xdr:cNvPr>
            <xdr:cNvSpPr txBox="1"/>
          </xdr:nvSpPr>
          <xdr:spPr>
            <a:xfrm>
              <a:off x="4226084" y="69048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+3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51DC889E-C8E9-49F5-8B46-F74B313BDF2E}"/>
                </a:ext>
              </a:extLst>
            </xdr:cNvPr>
            <xdr:cNvSpPr txBox="1"/>
          </xdr:nvSpPr>
          <xdr:spPr>
            <a:xfrm>
              <a:off x="4226084" y="690486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𝑥_(𝑡+3)−𝑥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31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10DD45B-5D71-4B9B-AF3C-85260581EF22}"/>
                </a:ext>
              </a:extLst>
            </xdr:cNvPr>
            <xdr:cNvSpPr txBox="1"/>
          </xdr:nvSpPr>
          <xdr:spPr>
            <a:xfrm>
              <a:off x="5050314" y="69201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+3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10DD45B-5D71-4B9B-AF3C-85260581EF22}"/>
                </a:ext>
              </a:extLst>
            </xdr:cNvPr>
            <xdr:cNvSpPr txBox="1"/>
          </xdr:nvSpPr>
          <xdr:spPr>
            <a:xfrm>
              <a:off x="5050314" y="692010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̅)(𝑥〗_(𝑡+3)−𝑥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423545</xdr:colOff>
      <xdr:row>40</xdr:row>
      <xdr:rowOff>175260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8EFE4B0-14BD-4AB7-A258-E8A83F2BC046}"/>
                </a:ext>
              </a:extLst>
            </xdr:cNvPr>
            <xdr:cNvSpPr txBox="1"/>
          </xdr:nvSpPr>
          <xdr:spPr>
            <a:xfrm>
              <a:off x="6856095" y="89192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8EFE4B0-14BD-4AB7-A258-E8A83F2BC046}"/>
                </a:ext>
              </a:extLst>
            </xdr:cNvPr>
            <xdr:cNvSpPr txBox="1"/>
          </xdr:nvSpPr>
          <xdr:spPr>
            <a:xfrm>
              <a:off x="6856095" y="89192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𝑐_3=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428931</xdr:colOff>
      <xdr:row>42</xdr:row>
      <xdr:rowOff>2540</xdr:rowOff>
    </xdr:from>
    <xdr:ext cx="314189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C210DB8-7310-404F-B93B-24956DDB721C}"/>
                </a:ext>
              </a:extLst>
            </xdr:cNvPr>
            <xdr:cNvSpPr txBox="1"/>
          </xdr:nvSpPr>
          <xdr:spPr>
            <a:xfrm>
              <a:off x="6861481" y="912749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C210DB8-7310-404F-B93B-24956DDB721C}"/>
                </a:ext>
              </a:extLst>
            </xdr:cNvPr>
            <xdr:cNvSpPr txBox="1"/>
          </xdr:nvSpPr>
          <xdr:spPr>
            <a:xfrm>
              <a:off x="6861481" y="912749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𝑟_3=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1</xdr:col>
      <xdr:colOff>318294</xdr:colOff>
      <xdr:row>46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2CFDD8-185A-4AA4-9DA3-B95626141597}"/>
                </a:ext>
              </a:extLst>
            </xdr:cNvPr>
            <xdr:cNvSpPr txBox="1"/>
          </xdr:nvSpPr>
          <xdr:spPr>
            <a:xfrm>
              <a:off x="1133634" y="68883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2CFDD8-185A-4AA4-9DA3-B95626141597}"/>
                </a:ext>
              </a:extLst>
            </xdr:cNvPr>
            <xdr:cNvSpPr txBox="1"/>
          </xdr:nvSpPr>
          <xdr:spPr>
            <a:xfrm>
              <a:off x="1133634" y="68883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264954</xdr:colOff>
      <xdr:row>46</xdr:row>
      <xdr:rowOff>45593</xdr:rowOff>
    </xdr:from>
    <xdr:ext cx="36728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AA74B269-993C-4113-A4DD-B3E108560964}"/>
                </a:ext>
              </a:extLst>
            </xdr:cNvPr>
            <xdr:cNvSpPr txBox="1"/>
          </xdr:nvSpPr>
          <xdr:spPr>
            <a:xfrm>
              <a:off x="1935004" y="101928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+4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AA74B269-993C-4113-A4DD-B3E108560964}"/>
                </a:ext>
              </a:extLst>
            </xdr:cNvPr>
            <xdr:cNvSpPr txBox="1"/>
          </xdr:nvSpPr>
          <xdr:spPr>
            <a:xfrm>
              <a:off x="1935004" y="10192893"/>
              <a:ext cx="36728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𝑥_(𝑡+4)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46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7C988A2-AEF3-4239-857F-E4D36C8DCB3E}"/>
                </a:ext>
              </a:extLst>
            </xdr:cNvPr>
            <xdr:cNvSpPr txBox="1"/>
          </xdr:nvSpPr>
          <xdr:spPr>
            <a:xfrm>
              <a:off x="2566194" y="690359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7C988A2-AEF3-4239-857F-E4D36C8DCB3E}"/>
                </a:ext>
              </a:extLst>
            </xdr:cNvPr>
            <xdr:cNvSpPr txBox="1"/>
          </xdr:nvSpPr>
          <xdr:spPr>
            <a:xfrm>
              <a:off x="2566194" y="690359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46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E957D59-6CE6-4B15-A3E9-2E3EFA7001AE}"/>
                </a:ext>
              </a:extLst>
            </xdr:cNvPr>
            <xdr:cNvSpPr txBox="1"/>
          </xdr:nvSpPr>
          <xdr:spPr>
            <a:xfrm>
              <a:off x="3335814" y="689597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E957D59-6CE6-4B15-A3E9-2E3EFA7001AE}"/>
                </a:ext>
              </a:extLst>
            </xdr:cNvPr>
            <xdr:cNvSpPr txBox="1"/>
          </xdr:nvSpPr>
          <xdr:spPr>
            <a:xfrm>
              <a:off x="3335814" y="689597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46</xdr:row>
      <xdr:rowOff>53213</xdr:rowOff>
    </xdr:from>
    <xdr:ext cx="682174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8B85F0C-95A1-4583-9346-A9339CD292A8}"/>
                </a:ext>
              </a:extLst>
            </xdr:cNvPr>
            <xdr:cNvSpPr txBox="1"/>
          </xdr:nvSpPr>
          <xdr:spPr>
            <a:xfrm>
              <a:off x="4226084" y="1020051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+4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8B85F0C-95A1-4583-9346-A9339CD292A8}"/>
                </a:ext>
              </a:extLst>
            </xdr:cNvPr>
            <xdr:cNvSpPr txBox="1"/>
          </xdr:nvSpPr>
          <xdr:spPr>
            <a:xfrm>
              <a:off x="4226084" y="10200513"/>
              <a:ext cx="682174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𝑥_(𝑡+4)−𝑥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59214</xdr:colOff>
      <xdr:row>46</xdr:row>
      <xdr:rowOff>68453</xdr:rowOff>
    </xdr:from>
    <xdr:ext cx="131632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BF4F0FF-5AA6-47A6-8A38-EEC30FF2542E}"/>
                </a:ext>
              </a:extLst>
            </xdr:cNvPr>
            <xdr:cNvSpPr txBox="1"/>
          </xdr:nvSpPr>
          <xdr:spPr>
            <a:xfrm>
              <a:off x="5050314" y="1021575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+4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BF4F0FF-5AA6-47A6-8A38-EEC30FF2542E}"/>
                </a:ext>
              </a:extLst>
            </xdr:cNvPr>
            <xdr:cNvSpPr txBox="1"/>
          </xdr:nvSpPr>
          <xdr:spPr>
            <a:xfrm>
              <a:off x="5050314" y="10215753"/>
              <a:ext cx="131632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〖(𝑥−𝑥 ̅)(𝑥〗_(𝑡+4)−𝑥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423545</xdr:colOff>
      <xdr:row>25</xdr:row>
      <xdr:rowOff>156210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30A06056-3361-4185-91D1-2C65B8B1929F}"/>
                </a:ext>
              </a:extLst>
            </xdr:cNvPr>
            <xdr:cNvSpPr txBox="1"/>
          </xdr:nvSpPr>
          <xdr:spPr>
            <a:xfrm>
              <a:off x="6856095" y="59918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30A06056-3361-4185-91D1-2C65B8B1929F}"/>
                </a:ext>
              </a:extLst>
            </xdr:cNvPr>
            <xdr:cNvSpPr txBox="1"/>
          </xdr:nvSpPr>
          <xdr:spPr>
            <a:xfrm>
              <a:off x="6856095" y="59918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𝑐_2=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428931</xdr:colOff>
      <xdr:row>26</xdr:row>
      <xdr:rowOff>186690</xdr:rowOff>
    </xdr:from>
    <xdr:ext cx="314189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9F8C19D-E507-4D03-AB86-F2F6870861BC}"/>
                </a:ext>
              </a:extLst>
            </xdr:cNvPr>
            <xdr:cNvSpPr txBox="1"/>
          </xdr:nvSpPr>
          <xdr:spPr>
            <a:xfrm>
              <a:off x="6861481" y="621284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9F8C19D-E507-4D03-AB86-F2F6870861BC}"/>
                </a:ext>
              </a:extLst>
            </xdr:cNvPr>
            <xdr:cNvSpPr txBox="1"/>
          </xdr:nvSpPr>
          <xdr:spPr>
            <a:xfrm>
              <a:off x="6861481" y="6212840"/>
              <a:ext cx="314189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𝑟_2=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7</xdr:col>
      <xdr:colOff>423545</xdr:colOff>
      <xdr:row>55</xdr:row>
      <xdr:rowOff>156210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F49EC8DF-88EE-41BA-B0C2-C307769C6526}"/>
                </a:ext>
              </a:extLst>
            </xdr:cNvPr>
            <xdr:cNvSpPr txBox="1"/>
          </xdr:nvSpPr>
          <xdr:spPr>
            <a:xfrm>
              <a:off x="6856095" y="121958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F49EC8DF-88EE-41BA-B0C2-C307769C6526}"/>
                </a:ext>
              </a:extLst>
            </xdr:cNvPr>
            <xdr:cNvSpPr txBox="1"/>
          </xdr:nvSpPr>
          <xdr:spPr>
            <a:xfrm>
              <a:off x="6856095" y="1219581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𝑐_4=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432233</xdr:colOff>
      <xdr:row>56</xdr:row>
      <xdr:rowOff>180340</xdr:rowOff>
    </xdr:from>
    <xdr:ext cx="307585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2AFE1C4-C14D-4953-A3D9-2E18C6D8B802}"/>
                </a:ext>
              </a:extLst>
            </xdr:cNvPr>
            <xdr:cNvSpPr txBox="1"/>
          </xdr:nvSpPr>
          <xdr:spPr>
            <a:xfrm>
              <a:off x="6864783" y="12410440"/>
              <a:ext cx="307585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2AFE1C4-C14D-4953-A3D9-2E18C6D8B802}"/>
                </a:ext>
              </a:extLst>
            </xdr:cNvPr>
            <xdr:cNvSpPr txBox="1"/>
          </xdr:nvSpPr>
          <xdr:spPr>
            <a:xfrm>
              <a:off x="6864783" y="12410440"/>
              <a:ext cx="307585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𝑟_4=</a:t>
              </a:r>
              <a:endParaRPr lang="en-US" sz="1200" b="0"/>
            </a:p>
          </xdr:txBody>
        </xdr:sp>
      </mc:Fallback>
    </mc:AlternateContent>
    <xdr:clientData/>
  </xdr:oneCellAnchor>
  <xdr:oneCellAnchor>
    <xdr:from>
      <xdr:col>7</xdr:col>
      <xdr:colOff>423545</xdr:colOff>
      <xdr:row>3</xdr:row>
      <xdr:rowOff>168910</xdr:rowOff>
    </xdr:from>
    <xdr:ext cx="324961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5563DC8-6C4C-48F7-91CB-4CA9023F23FA}"/>
                </a:ext>
              </a:extLst>
            </xdr:cNvPr>
            <xdr:cNvSpPr txBox="1"/>
          </xdr:nvSpPr>
          <xdr:spPr>
            <a:xfrm>
              <a:off x="6856095" y="13436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5563DC8-6C4C-48F7-91CB-4CA9023F23FA}"/>
                </a:ext>
              </a:extLst>
            </xdr:cNvPr>
            <xdr:cNvSpPr txBox="1"/>
          </xdr:nvSpPr>
          <xdr:spPr>
            <a:xfrm>
              <a:off x="6856095" y="1343660"/>
              <a:ext cx="324961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𝑐_0=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425340</xdr:colOff>
      <xdr:row>10</xdr:row>
      <xdr:rowOff>187960</xdr:rowOff>
    </xdr:from>
    <xdr:ext cx="321370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FBEF375-D87F-42C1-9F2D-89308F670421}"/>
                </a:ext>
              </a:extLst>
            </xdr:cNvPr>
            <xdr:cNvSpPr txBox="1"/>
          </xdr:nvSpPr>
          <xdr:spPr>
            <a:xfrm>
              <a:off x="6857890" y="2696210"/>
              <a:ext cx="32137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FBEF375-D87F-42C1-9F2D-89308F670421}"/>
                </a:ext>
              </a:extLst>
            </xdr:cNvPr>
            <xdr:cNvSpPr txBox="1"/>
          </xdr:nvSpPr>
          <xdr:spPr>
            <a:xfrm>
              <a:off x="6857890" y="2696210"/>
              <a:ext cx="321370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𝑐_1=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430726</xdr:colOff>
      <xdr:row>11</xdr:row>
      <xdr:rowOff>168910</xdr:rowOff>
    </xdr:from>
    <xdr:ext cx="310598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7446C54-34B9-49AA-A96B-761FD98505CD}"/>
                </a:ext>
              </a:extLst>
            </xdr:cNvPr>
            <xdr:cNvSpPr txBox="1"/>
          </xdr:nvSpPr>
          <xdr:spPr>
            <a:xfrm>
              <a:off x="6863276" y="2867660"/>
              <a:ext cx="310598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7446C54-34B9-49AA-A96B-761FD98505CD}"/>
                </a:ext>
              </a:extLst>
            </xdr:cNvPr>
            <xdr:cNvSpPr txBox="1"/>
          </xdr:nvSpPr>
          <xdr:spPr>
            <a:xfrm>
              <a:off x="6863276" y="2867660"/>
              <a:ext cx="310598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𝑟_1=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7</xdr:col>
      <xdr:colOff>449482</xdr:colOff>
      <xdr:row>1</xdr:row>
      <xdr:rowOff>359410</xdr:rowOff>
    </xdr:from>
    <xdr:ext cx="273087" cy="189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6908424-916D-4DD2-8CA1-E01A36E4C321}"/>
                </a:ext>
              </a:extLst>
            </xdr:cNvPr>
            <xdr:cNvSpPr txBox="1"/>
          </xdr:nvSpPr>
          <xdr:spPr>
            <a:xfrm>
              <a:off x="6882032" y="975360"/>
              <a:ext cx="273087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2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6908424-916D-4DD2-8CA1-E01A36E4C321}"/>
                </a:ext>
              </a:extLst>
            </xdr:cNvPr>
            <xdr:cNvSpPr txBox="1"/>
          </xdr:nvSpPr>
          <xdr:spPr>
            <a:xfrm>
              <a:off x="6882032" y="975360"/>
              <a:ext cx="273087" cy="189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𝑥 ̅=</a:t>
              </a:r>
              <a:endParaRPr 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I58"/>
  <sheetViews>
    <sheetView tabSelected="1" workbookViewId="0">
      <selection sqref="A1:G1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5" width="11.1796875" bestFit="1" customWidth="1"/>
    <col min="6" max="6" width="13" customWidth="1"/>
    <col min="7" max="7" width="20.6328125" customWidth="1"/>
    <col min="8" max="8" width="11.90625" customWidth="1"/>
    <col min="13" max="13" width="9.6328125" customWidth="1"/>
  </cols>
  <sheetData>
    <row r="1" spans="1:9" s="22" customFormat="1" ht="40.5" customHeight="1" x14ac:dyDescent="0.45">
      <c r="A1" s="23" t="s">
        <v>8</v>
      </c>
      <c r="B1" s="24"/>
      <c r="C1" s="24"/>
      <c r="D1" s="24"/>
      <c r="E1" s="24"/>
      <c r="F1" s="24"/>
      <c r="G1" s="25"/>
    </row>
    <row r="2" spans="1:9" ht="29" x14ac:dyDescent="0.35">
      <c r="A2" s="1" t="s">
        <v>1</v>
      </c>
      <c r="B2" s="2" t="s">
        <v>2</v>
      </c>
      <c r="C2" s="1"/>
      <c r="D2" s="1"/>
      <c r="E2" s="3"/>
      <c r="F2" s="3"/>
      <c r="G2" s="3"/>
    </row>
    <row r="3" spans="1:9" x14ac:dyDescent="0.35">
      <c r="A3" s="4">
        <v>1</v>
      </c>
      <c r="B3" s="5">
        <v>4.4000000000000004</v>
      </c>
      <c r="C3" s="6">
        <v>4.2</v>
      </c>
      <c r="D3" s="4">
        <f>B3-$I$3</f>
        <v>-0.29999999999999982</v>
      </c>
      <c r="E3" s="4">
        <f>D3^2</f>
        <v>8.99999999999999E-2</v>
      </c>
      <c r="F3" s="4">
        <f>C3-$I$3</f>
        <v>-0.5</v>
      </c>
      <c r="G3" s="4">
        <f>D3*F3</f>
        <v>0.14999999999999991</v>
      </c>
      <c r="I3" s="7">
        <f>AVERAGE(B3:B12)</f>
        <v>4.7</v>
      </c>
    </row>
    <row r="4" spans="1:9" x14ac:dyDescent="0.35">
      <c r="A4" s="4">
        <v>2</v>
      </c>
      <c r="B4" s="6">
        <v>4.2</v>
      </c>
      <c r="C4" s="8">
        <v>4.2</v>
      </c>
      <c r="D4" s="4">
        <f t="shared" ref="D4:D12" si="0">B4-$I$3</f>
        <v>-0.5</v>
      </c>
      <c r="E4" s="4">
        <f t="shared" ref="E4:E12" si="1">D4^2</f>
        <v>0.25</v>
      </c>
      <c r="F4" s="4">
        <f t="shared" ref="F4:F11" si="2">C4-$I$3</f>
        <v>-0.5</v>
      </c>
      <c r="G4" s="4">
        <f t="shared" ref="G4:G11" si="3">D4*F4</f>
        <v>0.25</v>
      </c>
    </row>
    <row r="5" spans="1:9" x14ac:dyDescent="0.35">
      <c r="A5" s="4">
        <v>3</v>
      </c>
      <c r="B5" s="8">
        <v>4.2</v>
      </c>
      <c r="C5" s="9">
        <v>4</v>
      </c>
      <c r="D5" s="4">
        <f t="shared" si="0"/>
        <v>-0.5</v>
      </c>
      <c r="E5" s="4">
        <f t="shared" si="1"/>
        <v>0.25</v>
      </c>
      <c r="F5" s="4">
        <f t="shared" si="2"/>
        <v>-0.70000000000000018</v>
      </c>
      <c r="G5" s="4">
        <f t="shared" si="3"/>
        <v>0.35000000000000009</v>
      </c>
      <c r="I5" s="7">
        <f>E13/COUNT(B3:B12)</f>
        <v>0.26999999999999996</v>
      </c>
    </row>
    <row r="6" spans="1:9" x14ac:dyDescent="0.35">
      <c r="A6" s="4">
        <v>4</v>
      </c>
      <c r="B6" s="9">
        <v>4</v>
      </c>
      <c r="C6" s="10">
        <v>4.4000000000000004</v>
      </c>
      <c r="D6" s="4">
        <f t="shared" si="0"/>
        <v>-0.70000000000000018</v>
      </c>
      <c r="E6" s="4">
        <f t="shared" si="1"/>
        <v>0.49000000000000027</v>
      </c>
      <c r="F6" s="4">
        <f t="shared" si="2"/>
        <v>-0.29999999999999982</v>
      </c>
      <c r="G6" s="4">
        <f t="shared" si="3"/>
        <v>0.20999999999999994</v>
      </c>
    </row>
    <row r="7" spans="1:9" x14ac:dyDescent="0.35">
      <c r="A7" s="4">
        <v>5</v>
      </c>
      <c r="B7" s="10">
        <v>4.4000000000000004</v>
      </c>
      <c r="C7" s="11">
        <v>4.7</v>
      </c>
      <c r="D7" s="4">
        <f t="shared" si="0"/>
        <v>-0.29999999999999982</v>
      </c>
      <c r="E7" s="4">
        <f t="shared" si="1"/>
        <v>8.99999999999999E-2</v>
      </c>
      <c r="F7" s="4">
        <f t="shared" si="2"/>
        <v>0</v>
      </c>
      <c r="G7" s="4">
        <f t="shared" si="3"/>
        <v>0</v>
      </c>
    </row>
    <row r="8" spans="1:9" x14ac:dyDescent="0.35">
      <c r="A8" s="4">
        <v>6</v>
      </c>
      <c r="B8" s="11">
        <v>4.7</v>
      </c>
      <c r="C8" s="12">
        <v>4.9000000000000004</v>
      </c>
      <c r="D8" s="4">
        <f t="shared" si="0"/>
        <v>0</v>
      </c>
      <c r="E8" s="4">
        <f t="shared" si="1"/>
        <v>0</v>
      </c>
      <c r="F8" s="4">
        <f t="shared" si="2"/>
        <v>0.20000000000000018</v>
      </c>
      <c r="G8" s="4">
        <f t="shared" si="3"/>
        <v>0</v>
      </c>
    </row>
    <row r="9" spans="1:9" x14ac:dyDescent="0.35">
      <c r="A9" s="4">
        <v>7</v>
      </c>
      <c r="B9" s="12">
        <v>4.9000000000000004</v>
      </c>
      <c r="C9" s="13">
        <v>5.3</v>
      </c>
      <c r="D9" s="4">
        <f t="shared" si="0"/>
        <v>0.20000000000000018</v>
      </c>
      <c r="E9" s="4">
        <f t="shared" si="1"/>
        <v>4.000000000000007E-2</v>
      </c>
      <c r="F9" s="4">
        <f t="shared" si="2"/>
        <v>0.59999999999999964</v>
      </c>
      <c r="G9" s="4">
        <f t="shared" si="3"/>
        <v>0.12000000000000004</v>
      </c>
    </row>
    <row r="10" spans="1:9" x14ac:dyDescent="0.35">
      <c r="A10" s="4">
        <v>8</v>
      </c>
      <c r="B10" s="13">
        <v>5.3</v>
      </c>
      <c r="C10" s="14">
        <v>5.4</v>
      </c>
      <c r="D10" s="4">
        <f t="shared" si="0"/>
        <v>0.59999999999999964</v>
      </c>
      <c r="E10" s="4">
        <f t="shared" si="1"/>
        <v>0.3599999999999996</v>
      </c>
      <c r="F10" s="4">
        <f t="shared" si="2"/>
        <v>0.70000000000000018</v>
      </c>
      <c r="G10" s="4">
        <f t="shared" si="3"/>
        <v>0.41999999999999987</v>
      </c>
    </row>
    <row r="11" spans="1:9" x14ac:dyDescent="0.35">
      <c r="A11" s="4">
        <v>9</v>
      </c>
      <c r="B11" s="14">
        <v>5.4</v>
      </c>
      <c r="C11" s="5">
        <v>5.5</v>
      </c>
      <c r="D11" s="4">
        <f t="shared" si="0"/>
        <v>0.70000000000000018</v>
      </c>
      <c r="E11" s="4">
        <f t="shared" si="1"/>
        <v>0.49000000000000027</v>
      </c>
      <c r="F11" s="4">
        <f t="shared" si="2"/>
        <v>0.79999999999999982</v>
      </c>
      <c r="G11" s="4">
        <f t="shared" si="3"/>
        <v>0.56000000000000005</v>
      </c>
    </row>
    <row r="12" spans="1:9" x14ac:dyDescent="0.35">
      <c r="A12" s="4">
        <v>10</v>
      </c>
      <c r="B12" s="5">
        <v>5.5</v>
      </c>
      <c r="C12" s="4" t="s">
        <v>3</v>
      </c>
      <c r="D12" s="4">
        <f t="shared" si="0"/>
        <v>0.79999999999999982</v>
      </c>
      <c r="E12" s="4">
        <f t="shared" si="1"/>
        <v>0.63999999999999968</v>
      </c>
      <c r="F12" s="4" t="s">
        <v>3</v>
      </c>
      <c r="G12" s="4" t="s">
        <v>3</v>
      </c>
      <c r="I12" s="7">
        <f>G13/COUNT(B3:B12)</f>
        <v>0.20600000000000002</v>
      </c>
    </row>
    <row r="13" spans="1:9" x14ac:dyDescent="0.35">
      <c r="A13" s="15" t="s">
        <v>0</v>
      </c>
      <c r="B13" s="16">
        <f>SUM(B3:B12)</f>
        <v>47</v>
      </c>
      <c r="C13" s="16">
        <f>SUM(C3:C12)</f>
        <v>42.6</v>
      </c>
      <c r="D13" s="16">
        <f t="shared" ref="D13:G13" si="4">SUM(D3:D12)</f>
        <v>0</v>
      </c>
      <c r="E13" s="16">
        <f t="shared" si="4"/>
        <v>2.6999999999999997</v>
      </c>
      <c r="F13" s="16">
        <f t="shared" si="4"/>
        <v>0.29999999999999982</v>
      </c>
      <c r="G13" s="17">
        <f t="shared" si="4"/>
        <v>2.06</v>
      </c>
      <c r="I13" s="7">
        <f>I12/$I$5</f>
        <v>0.76296296296296318</v>
      </c>
    </row>
    <row r="16" spans="1:9" s="22" customFormat="1" ht="40.5" customHeight="1" x14ac:dyDescent="0.45">
      <c r="A16" s="23" t="s">
        <v>4</v>
      </c>
      <c r="B16" s="24"/>
      <c r="C16" s="24"/>
      <c r="D16" s="24"/>
      <c r="E16" s="24"/>
      <c r="F16" s="24"/>
      <c r="G16" s="25"/>
    </row>
    <row r="17" spans="1:9" ht="29" x14ac:dyDescent="0.35">
      <c r="A17" s="1" t="s">
        <v>1</v>
      </c>
      <c r="B17" s="2" t="s">
        <v>2</v>
      </c>
      <c r="C17" s="1"/>
      <c r="D17" s="1"/>
      <c r="E17" s="3"/>
      <c r="F17" s="3"/>
      <c r="G17" s="3"/>
    </row>
    <row r="18" spans="1:9" x14ac:dyDescent="0.35">
      <c r="A18" s="4">
        <v>1</v>
      </c>
      <c r="B18" s="5">
        <v>4.4000000000000004</v>
      </c>
      <c r="C18" s="8">
        <v>4.2</v>
      </c>
      <c r="D18" s="4">
        <v>-0.3</v>
      </c>
      <c r="E18" s="4">
        <v>0.09</v>
      </c>
      <c r="F18" s="4">
        <v>-0.5</v>
      </c>
      <c r="G18" s="4">
        <v>0.15</v>
      </c>
    </row>
    <row r="19" spans="1:9" x14ac:dyDescent="0.35">
      <c r="A19" s="4">
        <v>2</v>
      </c>
      <c r="B19" s="6">
        <v>4.2</v>
      </c>
      <c r="C19" s="9">
        <v>4</v>
      </c>
      <c r="D19" s="4">
        <v>-0.5</v>
      </c>
      <c r="E19" s="4">
        <v>0.25</v>
      </c>
      <c r="F19" s="4">
        <v>-0.7</v>
      </c>
      <c r="G19" s="4">
        <v>0.35</v>
      </c>
    </row>
    <row r="20" spans="1:9" x14ac:dyDescent="0.35">
      <c r="A20" s="4">
        <v>3</v>
      </c>
      <c r="B20" s="8">
        <v>4.2</v>
      </c>
      <c r="C20" s="10">
        <v>4.4000000000000004</v>
      </c>
      <c r="D20" s="4">
        <v>-0.5</v>
      </c>
      <c r="E20" s="4">
        <v>0.25</v>
      </c>
      <c r="F20" s="4">
        <v>-0.3</v>
      </c>
      <c r="G20" s="4">
        <v>0.15</v>
      </c>
    </row>
    <row r="21" spans="1:9" x14ac:dyDescent="0.35">
      <c r="A21" s="4">
        <v>4</v>
      </c>
      <c r="B21" s="9">
        <v>4</v>
      </c>
      <c r="C21" s="26">
        <f>B23</f>
        <v>4.7</v>
      </c>
      <c r="D21" s="4">
        <v>-0.7</v>
      </c>
      <c r="E21" s="4">
        <v>0.49</v>
      </c>
      <c r="F21" s="26">
        <f>C21-$I$3</f>
        <v>0</v>
      </c>
      <c r="G21" s="26">
        <f>D21*F21</f>
        <v>0</v>
      </c>
    </row>
    <row r="22" spans="1:9" x14ac:dyDescent="0.35">
      <c r="A22" s="4">
        <v>5</v>
      </c>
      <c r="B22" s="10">
        <v>4.4000000000000004</v>
      </c>
      <c r="C22" s="26">
        <f t="shared" ref="C22:C23" si="5">B24</f>
        <v>4.9000000000000004</v>
      </c>
      <c r="D22" s="4">
        <v>-0.3</v>
      </c>
      <c r="E22" s="4">
        <v>0.09</v>
      </c>
      <c r="F22" s="26">
        <f t="shared" ref="F22:F23" si="6">C22-$I$3</f>
        <v>0.20000000000000018</v>
      </c>
      <c r="G22" s="26">
        <f t="shared" ref="G22:G23" si="7">D22*F22</f>
        <v>-6.0000000000000053E-2</v>
      </c>
    </row>
    <row r="23" spans="1:9" x14ac:dyDescent="0.35">
      <c r="A23" s="4">
        <v>6</v>
      </c>
      <c r="B23" s="11">
        <v>4.7</v>
      </c>
      <c r="C23" s="26">
        <f t="shared" si="5"/>
        <v>5.3</v>
      </c>
      <c r="D23" s="4">
        <v>0</v>
      </c>
      <c r="E23" s="4">
        <v>0</v>
      </c>
      <c r="F23" s="26">
        <f t="shared" si="6"/>
        <v>0.59999999999999964</v>
      </c>
      <c r="G23" s="26">
        <f t="shared" si="7"/>
        <v>0</v>
      </c>
    </row>
    <row r="24" spans="1:9" x14ac:dyDescent="0.35">
      <c r="A24" s="4">
        <v>7</v>
      </c>
      <c r="B24" s="12">
        <v>4.9000000000000004</v>
      </c>
      <c r="C24" s="14">
        <v>5.4</v>
      </c>
      <c r="D24" s="4">
        <v>0.2</v>
      </c>
      <c r="E24" s="4">
        <v>0.04</v>
      </c>
      <c r="F24" s="4">
        <v>0.7</v>
      </c>
      <c r="G24" s="4">
        <v>0.14000000000000001</v>
      </c>
    </row>
    <row r="25" spans="1:9" x14ac:dyDescent="0.35">
      <c r="A25" s="4">
        <v>8</v>
      </c>
      <c r="B25" s="13">
        <v>5.3</v>
      </c>
      <c r="C25" s="5">
        <v>5.5</v>
      </c>
      <c r="D25" s="4">
        <v>0.6</v>
      </c>
      <c r="E25" s="4">
        <v>0.36</v>
      </c>
      <c r="F25" s="4">
        <v>0.8</v>
      </c>
      <c r="G25" s="4">
        <v>0.48</v>
      </c>
    </row>
    <row r="26" spans="1:9" x14ac:dyDescent="0.35">
      <c r="A26" s="4">
        <v>9</v>
      </c>
      <c r="B26" s="14">
        <v>5.4</v>
      </c>
      <c r="C26" s="4" t="s">
        <v>3</v>
      </c>
      <c r="D26" s="4">
        <v>0.7</v>
      </c>
      <c r="E26" s="4">
        <v>0.49</v>
      </c>
      <c r="F26" s="4" t="s">
        <v>3</v>
      </c>
      <c r="G26" s="4" t="s">
        <v>3</v>
      </c>
    </row>
    <row r="27" spans="1:9" x14ac:dyDescent="0.35">
      <c r="A27" s="4">
        <v>10</v>
      </c>
      <c r="B27" s="5">
        <v>5.5</v>
      </c>
      <c r="C27" s="4" t="s">
        <v>3</v>
      </c>
      <c r="D27" s="4">
        <v>0.8</v>
      </c>
      <c r="E27" s="4">
        <v>0.64</v>
      </c>
      <c r="F27" s="4" t="s">
        <v>3</v>
      </c>
      <c r="G27" s="4" t="s">
        <v>5</v>
      </c>
      <c r="I27" s="7">
        <f>G28/COUNT(B18:B27)</f>
        <v>0.121</v>
      </c>
    </row>
    <row r="28" spans="1:9" x14ac:dyDescent="0.35">
      <c r="A28" s="18" t="s">
        <v>0</v>
      </c>
      <c r="B28" s="19">
        <v>47</v>
      </c>
      <c r="C28" s="27">
        <f>SUM(C18:C27)</f>
        <v>38.400000000000006</v>
      </c>
      <c r="D28" s="19">
        <v>0</v>
      </c>
      <c r="E28" s="19">
        <v>2.7</v>
      </c>
      <c r="F28" s="27">
        <f t="shared" ref="F28:G28" si="8">SUM(F18:F27)</f>
        <v>0.79999999999999982</v>
      </c>
      <c r="G28" s="28">
        <f t="shared" si="8"/>
        <v>1.21</v>
      </c>
      <c r="I28" s="7">
        <f>I27/$I$5</f>
        <v>0.44814814814814818</v>
      </c>
    </row>
    <row r="31" spans="1:9" s="22" customFormat="1" ht="40.5" customHeight="1" x14ac:dyDescent="0.45">
      <c r="A31" s="23" t="s">
        <v>6</v>
      </c>
      <c r="B31" s="24"/>
      <c r="C31" s="24"/>
      <c r="D31" s="24"/>
      <c r="E31" s="24"/>
      <c r="F31" s="24"/>
      <c r="G31" s="25"/>
    </row>
    <row r="32" spans="1:9" ht="29" x14ac:dyDescent="0.35">
      <c r="A32" s="1" t="s">
        <v>1</v>
      </c>
      <c r="B32" s="2" t="s">
        <v>2</v>
      </c>
      <c r="C32" s="1"/>
      <c r="D32" s="1"/>
      <c r="E32" s="3"/>
      <c r="F32" s="3"/>
      <c r="G32" s="3"/>
    </row>
    <row r="33" spans="1:9" x14ac:dyDescent="0.35">
      <c r="A33" s="4">
        <v>1</v>
      </c>
      <c r="B33" s="5">
        <v>4.4000000000000004</v>
      </c>
      <c r="C33" s="9">
        <v>4</v>
      </c>
      <c r="D33" s="4">
        <v>-0.3</v>
      </c>
      <c r="E33" s="4">
        <v>0.09</v>
      </c>
      <c r="F33" s="4">
        <v>-0.7</v>
      </c>
      <c r="G33" s="4">
        <v>0.21</v>
      </c>
    </row>
    <row r="34" spans="1:9" x14ac:dyDescent="0.35">
      <c r="A34" s="4">
        <v>2</v>
      </c>
      <c r="B34" s="6">
        <v>4.2</v>
      </c>
      <c r="C34" s="10">
        <v>4.4000000000000004</v>
      </c>
      <c r="D34" s="4">
        <v>-0.5</v>
      </c>
      <c r="E34" s="4">
        <v>0.25</v>
      </c>
      <c r="F34" s="4">
        <v>-0.3</v>
      </c>
      <c r="G34" s="4">
        <v>0.15</v>
      </c>
    </row>
    <row r="35" spans="1:9" x14ac:dyDescent="0.35">
      <c r="A35" s="4">
        <v>3</v>
      </c>
      <c r="B35" s="8">
        <v>4.2</v>
      </c>
      <c r="C35" s="11">
        <v>4.7</v>
      </c>
      <c r="D35" s="4">
        <v>-0.5</v>
      </c>
      <c r="E35" s="4">
        <v>0.25</v>
      </c>
      <c r="F35" s="4">
        <v>0</v>
      </c>
      <c r="G35" s="4">
        <v>0</v>
      </c>
    </row>
    <row r="36" spans="1:9" x14ac:dyDescent="0.35">
      <c r="A36" s="4">
        <v>4</v>
      </c>
      <c r="B36" s="9">
        <v>4</v>
      </c>
      <c r="C36" s="12">
        <v>4.9000000000000004</v>
      </c>
      <c r="D36" s="4">
        <v>-0.7</v>
      </c>
      <c r="E36" s="4">
        <v>0.49</v>
      </c>
      <c r="F36" s="4">
        <v>0.2</v>
      </c>
      <c r="G36" s="4">
        <v>-0.14000000000000001</v>
      </c>
    </row>
    <row r="37" spans="1:9" x14ac:dyDescent="0.35">
      <c r="A37" s="4">
        <v>5</v>
      </c>
      <c r="B37" s="10">
        <v>4.4000000000000004</v>
      </c>
      <c r="C37" s="13">
        <v>5.3</v>
      </c>
      <c r="D37" s="4">
        <v>-0.3</v>
      </c>
      <c r="E37" s="4">
        <v>0.09</v>
      </c>
      <c r="F37" s="4">
        <v>0.6</v>
      </c>
      <c r="G37" s="4">
        <v>-0.18</v>
      </c>
    </row>
    <row r="38" spans="1:9" x14ac:dyDescent="0.35">
      <c r="A38" s="4">
        <v>6</v>
      </c>
      <c r="B38" s="11">
        <v>4.7</v>
      </c>
      <c r="C38" s="14">
        <v>5.4</v>
      </c>
      <c r="D38" s="4">
        <v>0</v>
      </c>
      <c r="E38" s="4">
        <v>0</v>
      </c>
      <c r="F38" s="4">
        <v>0.7</v>
      </c>
      <c r="G38" s="4">
        <v>0</v>
      </c>
    </row>
    <row r="39" spans="1:9" x14ac:dyDescent="0.35">
      <c r="A39" s="4">
        <v>7</v>
      </c>
      <c r="B39" s="12">
        <v>4.9000000000000004</v>
      </c>
      <c r="C39" s="5">
        <v>5.5</v>
      </c>
      <c r="D39" s="4">
        <v>0.2</v>
      </c>
      <c r="E39" s="4">
        <v>0.04</v>
      </c>
      <c r="F39" s="4">
        <v>0.8</v>
      </c>
      <c r="G39" s="4">
        <v>0.16</v>
      </c>
    </row>
    <row r="40" spans="1:9" x14ac:dyDescent="0.35">
      <c r="A40" s="4">
        <v>8</v>
      </c>
      <c r="B40" s="13">
        <v>5.3</v>
      </c>
      <c r="C40" s="26" t="s">
        <v>3</v>
      </c>
      <c r="D40" s="4">
        <v>0.6</v>
      </c>
      <c r="E40" s="4">
        <v>0.36</v>
      </c>
      <c r="F40" s="26" t="s">
        <v>3</v>
      </c>
      <c r="G40" s="26" t="s">
        <v>3</v>
      </c>
    </row>
    <row r="41" spans="1:9" x14ac:dyDescent="0.35">
      <c r="A41" s="4">
        <v>9</v>
      </c>
      <c r="B41" s="14">
        <v>5.4</v>
      </c>
      <c r="C41" s="26" t="s">
        <v>3</v>
      </c>
      <c r="D41" s="4">
        <v>0.7</v>
      </c>
      <c r="E41" s="4">
        <v>0.49</v>
      </c>
      <c r="F41" s="26" t="s">
        <v>3</v>
      </c>
      <c r="G41" s="26" t="s">
        <v>3</v>
      </c>
    </row>
    <row r="42" spans="1:9" x14ac:dyDescent="0.35">
      <c r="A42" s="4">
        <v>10</v>
      </c>
      <c r="B42" s="5">
        <v>5.5</v>
      </c>
      <c r="C42" s="26" t="s">
        <v>3</v>
      </c>
      <c r="D42" s="4">
        <v>0.8</v>
      </c>
      <c r="E42" s="4">
        <v>0.64</v>
      </c>
      <c r="F42" s="26" t="s">
        <v>3</v>
      </c>
      <c r="G42" s="26" t="s">
        <v>3</v>
      </c>
      <c r="I42" s="7">
        <f>G43/COUNT(B33:B42)</f>
        <v>0.02</v>
      </c>
    </row>
    <row r="43" spans="1:9" x14ac:dyDescent="0.35">
      <c r="A43" s="15" t="s">
        <v>0</v>
      </c>
      <c r="B43" s="16">
        <v>47</v>
      </c>
      <c r="C43" s="16">
        <v>34.200000000000003</v>
      </c>
      <c r="D43" s="16">
        <v>0</v>
      </c>
      <c r="E43" s="16">
        <v>2.7</v>
      </c>
      <c r="F43" s="16">
        <v>1.3</v>
      </c>
      <c r="G43" s="17">
        <v>0.2</v>
      </c>
      <c r="I43" s="7">
        <f>I42/$I$5</f>
        <v>7.4074074074074084E-2</v>
      </c>
    </row>
    <row r="46" spans="1:9" s="22" customFormat="1" ht="40.5" customHeight="1" x14ac:dyDescent="0.45">
      <c r="A46" s="23" t="s">
        <v>7</v>
      </c>
      <c r="B46" s="24"/>
      <c r="C46" s="24"/>
      <c r="D46" s="24"/>
      <c r="E46" s="24"/>
      <c r="F46" s="24"/>
      <c r="G46" s="25"/>
    </row>
    <row r="47" spans="1:9" ht="29" x14ac:dyDescent="0.35">
      <c r="A47" s="1" t="s">
        <v>1</v>
      </c>
      <c r="B47" s="2" t="s">
        <v>2</v>
      </c>
      <c r="C47" s="1"/>
      <c r="D47" s="1"/>
      <c r="E47" s="3"/>
      <c r="F47" s="3"/>
      <c r="G47" s="3"/>
    </row>
    <row r="48" spans="1:9" x14ac:dyDescent="0.35">
      <c r="A48" s="4">
        <v>1</v>
      </c>
      <c r="B48" s="5">
        <v>4.4000000000000004</v>
      </c>
      <c r="C48" s="26">
        <f>B52</f>
        <v>4.4000000000000004</v>
      </c>
      <c r="D48" s="26">
        <f>B48-$I$3</f>
        <v>-0.29999999999999982</v>
      </c>
      <c r="E48" s="26">
        <f>D48^2</f>
        <v>8.99999999999999E-2</v>
      </c>
      <c r="F48" s="26">
        <f>C48-$I$3</f>
        <v>-0.29999999999999982</v>
      </c>
      <c r="G48" s="26">
        <f>D48*F48</f>
        <v>8.99999999999999E-2</v>
      </c>
    </row>
    <row r="49" spans="1:9" x14ac:dyDescent="0.35">
      <c r="A49" s="4">
        <v>2</v>
      </c>
      <c r="B49" s="6">
        <v>4.2</v>
      </c>
      <c r="C49" s="26">
        <f t="shared" ref="C49:C54" si="9">B53</f>
        <v>4.7</v>
      </c>
      <c r="D49" s="26">
        <f t="shared" ref="D49:D57" si="10">B49-$I$3</f>
        <v>-0.5</v>
      </c>
      <c r="E49" s="26">
        <f t="shared" ref="E49:E57" si="11">D49^2</f>
        <v>0.25</v>
      </c>
      <c r="F49" s="26">
        <f t="shared" ref="F49:F56" si="12">C49-$I$3</f>
        <v>0</v>
      </c>
      <c r="G49" s="26">
        <f t="shared" ref="G49:G56" si="13">D49*F49</f>
        <v>0</v>
      </c>
    </row>
    <row r="50" spans="1:9" x14ac:dyDescent="0.35">
      <c r="A50" s="4">
        <v>3</v>
      </c>
      <c r="B50" s="8">
        <v>4.2</v>
      </c>
      <c r="C50" s="26">
        <f t="shared" si="9"/>
        <v>4.9000000000000004</v>
      </c>
      <c r="D50" s="26">
        <f t="shared" si="10"/>
        <v>-0.5</v>
      </c>
      <c r="E50" s="26">
        <f t="shared" si="11"/>
        <v>0.25</v>
      </c>
      <c r="F50" s="26">
        <f t="shared" si="12"/>
        <v>0.20000000000000018</v>
      </c>
      <c r="G50" s="26">
        <f t="shared" si="13"/>
        <v>-0.10000000000000009</v>
      </c>
    </row>
    <row r="51" spans="1:9" x14ac:dyDescent="0.35">
      <c r="A51" s="4">
        <v>4</v>
      </c>
      <c r="B51" s="9">
        <v>4</v>
      </c>
      <c r="C51" s="26">
        <f t="shared" si="9"/>
        <v>5.3</v>
      </c>
      <c r="D51" s="26">
        <f t="shared" si="10"/>
        <v>-0.70000000000000018</v>
      </c>
      <c r="E51" s="26">
        <f t="shared" si="11"/>
        <v>0.49000000000000027</v>
      </c>
      <c r="F51" s="26">
        <f t="shared" si="12"/>
        <v>0.59999999999999964</v>
      </c>
      <c r="G51" s="26">
        <f t="shared" si="13"/>
        <v>-0.41999999999999987</v>
      </c>
    </row>
    <row r="52" spans="1:9" x14ac:dyDescent="0.35">
      <c r="A52" s="4">
        <v>5</v>
      </c>
      <c r="B52" s="10">
        <v>4.4000000000000004</v>
      </c>
      <c r="C52" s="26">
        <f t="shared" si="9"/>
        <v>5.4</v>
      </c>
      <c r="D52" s="26">
        <f t="shared" si="10"/>
        <v>-0.29999999999999982</v>
      </c>
      <c r="E52" s="26">
        <f t="shared" si="11"/>
        <v>8.99999999999999E-2</v>
      </c>
      <c r="F52" s="26">
        <f t="shared" si="12"/>
        <v>0.70000000000000018</v>
      </c>
      <c r="G52" s="26">
        <f t="shared" si="13"/>
        <v>-0.20999999999999994</v>
      </c>
    </row>
    <row r="53" spans="1:9" x14ac:dyDescent="0.35">
      <c r="A53" s="4">
        <v>6</v>
      </c>
      <c r="B53" s="11">
        <v>4.7</v>
      </c>
      <c r="C53" s="26">
        <f t="shared" si="9"/>
        <v>5.5</v>
      </c>
      <c r="D53" s="26">
        <f t="shared" si="10"/>
        <v>0</v>
      </c>
      <c r="E53" s="26">
        <f t="shared" si="11"/>
        <v>0</v>
      </c>
      <c r="F53" s="26">
        <f t="shared" si="12"/>
        <v>0.79999999999999982</v>
      </c>
      <c r="G53" s="26">
        <f t="shared" si="13"/>
        <v>0</v>
      </c>
    </row>
    <row r="54" spans="1:9" x14ac:dyDescent="0.35">
      <c r="A54" s="4">
        <v>7</v>
      </c>
      <c r="B54" s="12">
        <v>4.9000000000000004</v>
      </c>
      <c r="C54" s="26" t="s">
        <v>3</v>
      </c>
      <c r="D54" s="26">
        <f t="shared" si="10"/>
        <v>0.20000000000000018</v>
      </c>
      <c r="E54" s="26">
        <f t="shared" si="11"/>
        <v>4.000000000000007E-2</v>
      </c>
      <c r="F54" s="26" t="s">
        <v>3</v>
      </c>
      <c r="G54" s="26" t="s">
        <v>3</v>
      </c>
    </row>
    <row r="55" spans="1:9" x14ac:dyDescent="0.35">
      <c r="A55" s="4">
        <v>8</v>
      </c>
      <c r="B55" s="13">
        <v>5.3</v>
      </c>
      <c r="C55" s="26" t="s">
        <v>3</v>
      </c>
      <c r="D55" s="26">
        <f t="shared" si="10"/>
        <v>0.59999999999999964</v>
      </c>
      <c r="E55" s="26">
        <f t="shared" si="11"/>
        <v>0.3599999999999996</v>
      </c>
      <c r="F55" s="26" t="s">
        <v>3</v>
      </c>
      <c r="G55" s="26" t="s">
        <v>3</v>
      </c>
    </row>
    <row r="56" spans="1:9" x14ac:dyDescent="0.35">
      <c r="A56" s="4">
        <v>9</v>
      </c>
      <c r="B56" s="14">
        <v>5.4</v>
      </c>
      <c r="C56" s="26" t="s">
        <v>3</v>
      </c>
      <c r="D56" s="26">
        <f t="shared" si="10"/>
        <v>0.70000000000000018</v>
      </c>
      <c r="E56" s="26">
        <f t="shared" si="11"/>
        <v>0.49000000000000027</v>
      </c>
      <c r="F56" s="26" t="s">
        <v>3</v>
      </c>
      <c r="G56" s="26" t="s">
        <v>3</v>
      </c>
    </row>
    <row r="57" spans="1:9" x14ac:dyDescent="0.35">
      <c r="A57" s="4">
        <v>10</v>
      </c>
      <c r="B57" s="5">
        <v>5.5</v>
      </c>
      <c r="C57" s="26" t="s">
        <v>3</v>
      </c>
      <c r="D57" s="26">
        <f t="shared" si="10"/>
        <v>0.79999999999999982</v>
      </c>
      <c r="E57" s="26">
        <f t="shared" si="11"/>
        <v>0.63999999999999968</v>
      </c>
      <c r="F57" s="26" t="s">
        <v>3</v>
      </c>
      <c r="G57" s="26" t="s">
        <v>3</v>
      </c>
      <c r="I57" s="7">
        <f>G58/COUNT(B48:B57)</f>
        <v>-6.4000000000000001E-2</v>
      </c>
    </row>
    <row r="58" spans="1:9" x14ac:dyDescent="0.35">
      <c r="A58" s="15" t="s">
        <v>0</v>
      </c>
      <c r="B58" s="16">
        <v>47</v>
      </c>
      <c r="C58" s="20">
        <f t="shared" ref="C58:D58" si="14">SUM(C48:C57)</f>
        <v>30.200000000000003</v>
      </c>
      <c r="D58" s="20">
        <f t="shared" si="14"/>
        <v>0</v>
      </c>
      <c r="E58" s="20">
        <f t="shared" ref="E58" si="15">SUM(E48:E57)</f>
        <v>2.6999999999999997</v>
      </c>
      <c r="F58" s="20">
        <f t="shared" ref="F58" si="16">SUM(F48:F57)</f>
        <v>2</v>
      </c>
      <c r="G58" s="21">
        <f t="shared" ref="G58" si="17">SUM(G48:G57)</f>
        <v>-0.64</v>
      </c>
      <c r="I58" s="7">
        <f>I57/$I$5</f>
        <v>-0.23703703703703707</v>
      </c>
    </row>
  </sheetData>
  <mergeCells count="4">
    <mergeCell ref="A46:G46"/>
    <mergeCell ref="A1:G1"/>
    <mergeCell ref="A16:G16"/>
    <mergeCell ref="A31:G3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2026-09-29T02:30:45Z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2025-10-02T18:56:20Z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5bde673f-f7d9-4b31-92aa-cae1681cddff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