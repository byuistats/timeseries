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13_ncr:1_{FB5C9CDB-1D64-4846-A8ED-948A2CCC1B98}" xr6:coauthVersionLast="47" xr6:coauthVersionMax="47" xr10:uidLastSave="{00000000-0000-0000-0000-000000000000}"/>
  <bookViews>
    <workbookView xWindow="3000" yWindow="3000" windowWidth="19200" windowHeight="11170" xr2:uid="{CB73943A-C465-40BE-817C-B9991112161C}"/>
  </bookViews>
  <sheets>
    <sheet name="Key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8" i="3" l="1"/>
  <c r="D137" i="3"/>
  <c r="D136" i="3"/>
  <c r="D135" i="3"/>
  <c r="D134" i="3"/>
  <c r="D133" i="3"/>
  <c r="D84" i="3"/>
  <c r="D83" i="3"/>
  <c r="D82" i="3"/>
  <c r="D81" i="3"/>
  <c r="D80" i="3"/>
  <c r="D79" i="3"/>
  <c r="C138" i="3"/>
  <c r="B138" i="3"/>
  <c r="C137" i="3"/>
  <c r="B137" i="3"/>
  <c r="C136" i="3"/>
  <c r="B136" i="3"/>
  <c r="C135" i="3"/>
  <c r="B135" i="3"/>
  <c r="C134" i="3"/>
  <c r="B134" i="3"/>
  <c r="C133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56" i="3"/>
  <c r="C132" i="3" s="1"/>
  <c r="C55" i="3"/>
  <c r="D131" i="3" s="1"/>
  <c r="C54" i="3"/>
  <c r="D130" i="3" s="1"/>
  <c r="C53" i="3"/>
  <c r="C129" i="3" s="1"/>
  <c r="C52" i="3"/>
  <c r="D128" i="3" s="1"/>
  <c r="C51" i="3"/>
  <c r="D51" i="3" s="1"/>
  <c r="D127" i="3" s="1"/>
  <c r="C50" i="3"/>
  <c r="C126" i="3" s="1"/>
  <c r="C49" i="3"/>
  <c r="D125" i="3" s="1"/>
  <c r="C48" i="3"/>
  <c r="D124" i="3" s="1"/>
  <c r="C47" i="3"/>
  <c r="C123" i="3" s="1"/>
  <c r="C46" i="3"/>
  <c r="D122" i="3" s="1"/>
  <c r="C45" i="3"/>
  <c r="C121" i="3" s="1"/>
  <c r="C44" i="3"/>
  <c r="C120" i="3" s="1"/>
  <c r="C43" i="3"/>
  <c r="D119" i="3" s="1"/>
  <c r="C42" i="3"/>
  <c r="D118" i="3" s="1"/>
  <c r="C41" i="3"/>
  <c r="D117" i="3" s="1"/>
  <c r="C40" i="3"/>
  <c r="D116" i="3" s="1"/>
  <c r="C39" i="3"/>
  <c r="D39" i="3" s="1"/>
  <c r="D115" i="3" s="1"/>
  <c r="C38" i="3"/>
  <c r="D114" i="3" s="1"/>
  <c r="C37" i="3"/>
  <c r="D113" i="3" s="1"/>
  <c r="C36" i="3"/>
  <c r="D112" i="3" s="1"/>
  <c r="C35" i="3"/>
  <c r="C111" i="3" s="1"/>
  <c r="C34" i="3"/>
  <c r="D110" i="3" s="1"/>
  <c r="C33" i="3"/>
  <c r="D109" i="3" s="1"/>
  <c r="C32" i="3"/>
  <c r="C108" i="3" s="1"/>
  <c r="C31" i="3"/>
  <c r="D107" i="3" s="1"/>
  <c r="C30" i="3"/>
  <c r="D106" i="3" s="1"/>
  <c r="C29" i="3"/>
  <c r="C105" i="3" s="1"/>
  <c r="C28" i="3"/>
  <c r="C104" i="3" s="1"/>
  <c r="C27" i="3"/>
  <c r="D27" i="3" s="1"/>
  <c r="D103" i="3" s="1"/>
  <c r="C26" i="3"/>
  <c r="D102" i="3" s="1"/>
  <c r="C25" i="3"/>
  <c r="D101" i="3" s="1"/>
  <c r="C24" i="3"/>
  <c r="D100" i="3" s="1"/>
  <c r="C23" i="3"/>
  <c r="D99" i="3" s="1"/>
  <c r="C22" i="3"/>
  <c r="D98" i="3" s="1"/>
  <c r="C21" i="3"/>
  <c r="D97" i="3" s="1"/>
  <c r="C20" i="3"/>
  <c r="D96" i="3" s="1"/>
  <c r="C19" i="3"/>
  <c r="D95" i="3" s="1"/>
  <c r="C18" i="3"/>
  <c r="D94" i="3" s="1"/>
  <c r="C17" i="3"/>
  <c r="D93" i="3" s="1"/>
  <c r="C16" i="3"/>
  <c r="C92" i="3" s="1"/>
  <c r="C15" i="3"/>
  <c r="C91" i="3" s="1"/>
  <c r="C14" i="3"/>
  <c r="C90" i="3" s="1"/>
  <c r="C13" i="3"/>
  <c r="C89" i="3" s="1"/>
  <c r="C12" i="3"/>
  <c r="D12" i="3" s="1"/>
  <c r="D88" i="3" s="1"/>
  <c r="C11" i="3"/>
  <c r="D11" i="3" s="1"/>
  <c r="D87" i="3" s="1"/>
  <c r="C10" i="3"/>
  <c r="D10" i="3" s="1"/>
  <c r="D86" i="3" s="1"/>
  <c r="C9" i="3"/>
  <c r="D9" i="3" s="1"/>
  <c r="D85" i="3" s="1"/>
  <c r="D14" i="3" l="1"/>
  <c r="D90" i="3" s="1"/>
  <c r="D13" i="3"/>
  <c r="D89" i="3" s="1"/>
  <c r="C107" i="3"/>
  <c r="D120" i="3"/>
  <c r="D121" i="3"/>
  <c r="D123" i="3"/>
  <c r="C87" i="3"/>
  <c r="D15" i="3"/>
  <c r="D91" i="3" s="1"/>
  <c r="D92" i="3"/>
  <c r="D105" i="3"/>
  <c r="C131" i="3"/>
  <c r="D108" i="3"/>
  <c r="C130" i="3"/>
  <c r="D104" i="3"/>
  <c r="C117" i="3"/>
  <c r="D56" i="3"/>
  <c r="D132" i="3" s="1"/>
  <c r="C97" i="3"/>
  <c r="C96" i="3"/>
  <c r="C112" i="3"/>
  <c r="C99" i="3"/>
  <c r="C113" i="3"/>
  <c r="D111" i="3"/>
  <c r="D126" i="3"/>
  <c r="C114" i="3"/>
  <c r="D129" i="3"/>
  <c r="C115" i="3"/>
  <c r="C103" i="3"/>
  <c r="C125" i="3"/>
  <c r="C93" i="3"/>
  <c r="C94" i="3"/>
  <c r="C116" i="3"/>
  <c r="C95" i="3"/>
  <c r="C85" i="3"/>
  <c r="C118" i="3"/>
  <c r="C102" i="3"/>
  <c r="C124" i="3"/>
  <c r="C119" i="3"/>
  <c r="C100" i="3"/>
  <c r="C109" i="3"/>
  <c r="C110" i="3"/>
  <c r="C86" i="3"/>
  <c r="C127" i="3"/>
  <c r="C101" i="3"/>
  <c r="C106" i="3"/>
  <c r="C88" i="3"/>
  <c r="C122" i="3"/>
  <c r="C128" i="3"/>
  <c r="C98" i="3"/>
  <c r="B67" i="3" l="1" a="1"/>
  <c r="B6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Tyson Brost</author>
  </authors>
  <commentList>
    <comment ref="A73" authorId="0" shapeId="0" xr:uid="{CF60AC78-5442-4236-AECE-C0C7ACA4D6BF}">
      <text>
        <r>
          <rPr>
            <sz val="10"/>
            <color indexed="81"/>
            <rFont val="Arial"/>
            <family val="2"/>
          </rPr>
          <t>Unadjusted monthly additive components</t>
        </r>
      </text>
    </comment>
    <comment ref="N73" authorId="0" shapeId="0" xr:uid="{7AB34930-2485-49E2-A678-E9A1E1596D84}">
      <text>
        <r>
          <rPr>
            <sz val="10"/>
            <color indexed="81"/>
            <rFont val="Arial"/>
            <family val="2"/>
          </rPr>
          <t>Overall mean of these unadjusted monthly additive components</t>
        </r>
      </text>
    </comment>
    <comment ref="A74" authorId="0" shapeId="0" xr:uid="{24587962-40B9-471A-B152-48A295F4681E}">
      <text>
        <r>
          <rPr>
            <sz val="10"/>
            <color indexed="81"/>
            <rFont val="Arial"/>
            <family val="2"/>
          </rPr>
          <t>Adjusted monthly additive components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<sst xmlns="http://schemas.openxmlformats.org/spreadsheetml/2006/main" count="183" uniqueCount="85">
  <si>
    <t>Month</t>
  </si>
  <si>
    <t xml:space="preserve">Deaths
</t>
  </si>
  <si>
    <t>Random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</si>
  <si>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</si>
  <si>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</si>
  <si>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</si>
  <si>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</si>
  <si>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</si>
  <si>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</si>
  <si>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</si>
  <si>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</si>
  <si>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</si>
  <si>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</si>
  <si>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</si>
  <si>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</si>
  <si>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</si>
  <si>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</si>
  <si>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</si>
  <si>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</si>
  <si>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</si>
  <si>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</si>
  <si>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</si>
  <si>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</si>
  <si>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</si>
  <si>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</si>
  <si>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</si>
  <si>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</si>
  <si>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</si>
  <si>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</si>
  <si>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</si>
  <si>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</si>
  <si>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</si>
  <si>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</si>
  <si>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</si>
  <si>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</si>
  <si>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</si>
  <si>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</si>
  <si>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</si>
  <si>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</si>
  <si>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</si>
  <si>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</si>
  <si>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</si>
  <si>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</si>
  <si>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</si>
  <si>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</si>
  <si>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</si>
  <si>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</si>
  <si>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</si>
  <si>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</si>
  <si>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</si>
  <si>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</si>
  <si>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</si>
  <si>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</si>
  <si>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</si>
  <si>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</si>
  <si>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</si>
  <si>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</si>
  <si>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</si>
  <si>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</si>
  <si>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</si>
  <si>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</si>
  <si>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</si>
  <si>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</si>
  <si>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</si>
  <si>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</si>
  <si>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</si>
  <si>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</si>
  <si>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</si>
  <si>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</si>
  <si>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</si>
  <si>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</si>
  <si>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</si>
  <si>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</si>
  <si>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</si>
  <si>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</si>
  <si>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</t>
  </si>
  <si>
    <t>NA</t>
  </si>
  <si>
    <t>Mean,</t>
  </si>
  <si>
    <t>(Hint:  Should be close to -5)</t>
  </si>
  <si>
    <t xml:space="preserve">Overall mean, </t>
  </si>
  <si>
    <t xml:space="preserve">Seasonally 
Adjusted
</t>
  </si>
  <si>
    <t xml:space="preserve">Year </t>
  </si>
  <si>
    <t>Table 2:  Computation of</t>
  </si>
  <si>
    <t>Table 3:  Computation of the Estimate of the Random 
Component and the Seasonally Adjusted Time Series</t>
  </si>
  <si>
    <t>Table 1:  Computation of the 
Centered Moving Average,          , and 
the Estimated Monthly Additive Effect,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</si>
</sst>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1"/>
      <name val="Arial"/>
      <family val="2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164" fontId="0" fillId="2" borderId="7" xfId="0" applyNumberFormat="1" applyFill="1" applyBorder="1" applyAlignment="1">
      <alignment horizontal="center"/>
    </xf>
    <xf numFmtId="0" fontId="0" fillId="0" borderId="6" xfId="0" applyBorder="1"/>
    <xf numFmtId="16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7" xfId="0" applyFill="1" applyBorder="1" applyAlignment="1">
      <alignment horizontal="left" vertical="center"/>
    </xf>
    <xf numFmtId="0" fontId="0" fillId="3" borderId="10" xfId="0" applyFill="1" applyBorder="1" applyAlignment="1">
      <alignment vertical="center"/>
    </xf>
    <xf numFmtId="164" fontId="0" fillId="0" borderId="10" xfId="0" applyNumberFormat="1" applyBorder="1" applyAlignment="1">
      <alignment horizontal="center" vertical="center"/>
    </xf>
    <xf numFmtId="0" fontId="0" fillId="3" borderId="8" xfId="0" applyFill="1" applyBorder="1" applyAlignment="1">
      <alignment horizontal="right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4" fontId="0" fillId="0" borderId="7" xfId="0" applyNumberFormat="1" applyFill="1" applyBorder="1" applyAlignment="1">
      <alignment horizontal="center"/>
    </xf>
    <xf numFmtId="164" fontId="0" fillId="0" borderId="7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327184</xdr:colOff>
      <xdr:row>77</xdr:row>
      <xdr:rowOff>364363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CC8CAD1-69B1-40D8-A713-188C4E07C8EC}"/>
                </a:ext>
              </a:extLst>
            </xdr:cNvPr>
            <xdr:cNvSpPr txBox="1"/>
          </xdr:nvSpPr>
          <xdr:spPr>
            <a:xfrm>
              <a:off x="1165384" y="1702676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CC8CAD1-69B1-40D8-A713-188C4E07C8EC}"/>
                </a:ext>
              </a:extLst>
            </xdr:cNvPr>
            <xdr:cNvSpPr txBox="1"/>
          </xdr:nvSpPr>
          <xdr:spPr>
            <a:xfrm>
              <a:off x="1165384" y="1702676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295434</xdr:colOff>
      <xdr:row>77</xdr:row>
      <xdr:rowOff>283083</xdr:rowOff>
    </xdr:from>
    <xdr:ext cx="187167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9AD31EA-CC15-4A69-960C-6754060CB6BF}"/>
                </a:ext>
              </a:extLst>
            </xdr:cNvPr>
            <xdr:cNvSpPr txBox="1"/>
          </xdr:nvSpPr>
          <xdr:spPr>
            <a:xfrm>
              <a:off x="1971834" y="16945483"/>
              <a:ext cx="18716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9AD31EA-CC15-4A69-960C-6754060CB6BF}"/>
                </a:ext>
              </a:extLst>
            </xdr:cNvPr>
            <xdr:cNvSpPr txBox="1"/>
          </xdr:nvSpPr>
          <xdr:spPr>
            <a:xfrm>
              <a:off x="1971834" y="16945483"/>
              <a:ext cx="18716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𝑚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303054</xdr:colOff>
      <xdr:row>77</xdr:row>
      <xdr:rowOff>270383</xdr:rowOff>
    </xdr:from>
    <xdr:ext cx="120161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504EC31-51CA-460B-8166-D7F15238DE95}"/>
                </a:ext>
              </a:extLst>
            </xdr:cNvPr>
            <xdr:cNvSpPr txBox="1"/>
          </xdr:nvSpPr>
          <xdr:spPr>
            <a:xfrm>
              <a:off x="2830354" y="16932783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504EC31-51CA-460B-8166-D7F15238DE95}"/>
                </a:ext>
              </a:extLst>
            </xdr:cNvPr>
            <xdr:cNvSpPr txBox="1"/>
          </xdr:nvSpPr>
          <xdr:spPr>
            <a:xfrm>
              <a:off x="2830354" y="16932783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281940</xdr:colOff>
      <xdr:row>77</xdr:row>
      <xdr:rowOff>269240</xdr:rowOff>
    </xdr:from>
    <xdr:ext cx="120161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EFC7B1D-C8AE-4D78-A865-782604968F0C}"/>
                </a:ext>
              </a:extLst>
            </xdr:cNvPr>
            <xdr:cNvSpPr txBox="1"/>
          </xdr:nvSpPr>
          <xdr:spPr>
            <a:xfrm>
              <a:off x="3590290" y="16931640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EFC7B1D-C8AE-4D78-A865-782604968F0C}"/>
                </a:ext>
              </a:extLst>
            </xdr:cNvPr>
            <xdr:cNvSpPr txBox="1"/>
          </xdr:nvSpPr>
          <xdr:spPr>
            <a:xfrm>
              <a:off x="3590290" y="16931640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315754</xdr:colOff>
      <xdr:row>77</xdr:row>
      <xdr:rowOff>459613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32157E4-DCFB-4DDE-B6A9-DBE37E97D611}"/>
                </a:ext>
              </a:extLst>
            </xdr:cNvPr>
            <xdr:cNvSpPr txBox="1"/>
          </xdr:nvSpPr>
          <xdr:spPr>
            <a:xfrm>
              <a:off x="5186204" y="171220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32157E4-DCFB-4DDE-B6A9-DBE37E97D611}"/>
                </a:ext>
              </a:extLst>
            </xdr:cNvPr>
            <xdr:cNvSpPr txBox="1"/>
          </xdr:nvSpPr>
          <xdr:spPr>
            <a:xfrm>
              <a:off x="5186204" y="171220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113</xdr:row>
      <xdr:rowOff>3810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469D1B-4F9D-48F9-A217-21819DDE6DCA}"/>
            </a:ext>
          </a:extLst>
        </xdr:cNvPr>
        <xdr:cNvSpPr txBox="1"/>
      </xdr:nvSpPr>
      <xdr:spPr>
        <a:xfrm>
          <a:off x="228600" y="2229548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318294</xdr:colOff>
      <xdr:row>1</xdr:row>
      <xdr:rowOff>129413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A3CE73D-B773-4E5F-9EB9-255DA17F8DF9}"/>
                </a:ext>
              </a:extLst>
            </xdr:cNvPr>
            <xdr:cNvSpPr txBox="1"/>
          </xdr:nvSpPr>
          <xdr:spPr>
            <a:xfrm>
              <a:off x="1153319" y="70726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A3CE73D-B773-4E5F-9EB9-255DA17F8DF9}"/>
                </a:ext>
              </a:extLst>
            </xdr:cNvPr>
            <xdr:cNvSpPr txBox="1"/>
          </xdr:nvSpPr>
          <xdr:spPr>
            <a:xfrm>
              <a:off x="1153319" y="70726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310674</xdr:colOff>
      <xdr:row>1</xdr:row>
      <xdr:rowOff>83693</xdr:rowOff>
    </xdr:from>
    <xdr:ext cx="22050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64B5094-3F97-4063-9215-535779C2E08B}"/>
                </a:ext>
              </a:extLst>
            </xdr:cNvPr>
            <xdr:cNvSpPr txBox="1"/>
          </xdr:nvSpPr>
          <xdr:spPr>
            <a:xfrm>
              <a:off x="1987074" y="1023493"/>
              <a:ext cx="22050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64B5094-3F97-4063-9215-535779C2E08B}"/>
                </a:ext>
              </a:extLst>
            </xdr:cNvPr>
            <xdr:cNvSpPr txBox="1"/>
          </xdr:nvSpPr>
          <xdr:spPr>
            <a:xfrm>
              <a:off x="1987074" y="1023493"/>
              <a:ext cx="22050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𝑚 ̂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400" b="0" i="0">
                  <a:latin typeface="Cambria Math" panose="02040503050406030204" pitchFamily="18" charset="0"/>
                </a:rPr>
                <a:t>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287814</xdr:colOff>
      <xdr:row>1</xdr:row>
      <xdr:rowOff>83693</xdr:rowOff>
    </xdr:from>
    <xdr:ext cx="163057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2D2F4E2-A2FE-4804-9411-C3150B626684}"/>
                </a:ext>
              </a:extLst>
            </xdr:cNvPr>
            <xdr:cNvSpPr txBox="1"/>
          </xdr:nvSpPr>
          <xdr:spPr>
            <a:xfrm>
              <a:off x="2815114" y="1023493"/>
              <a:ext cx="16305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2D2F4E2-A2FE-4804-9411-C3150B626684}"/>
                </a:ext>
              </a:extLst>
            </xdr:cNvPr>
            <xdr:cNvSpPr txBox="1"/>
          </xdr:nvSpPr>
          <xdr:spPr>
            <a:xfrm>
              <a:off x="2815114" y="1023493"/>
              <a:ext cx="16305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𝑠 ̂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400" b="0" i="0">
                  <a:latin typeface="Cambria Math" panose="02040503050406030204" pitchFamily="18" charset="0"/>
                </a:rPr>
                <a:t>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73</xdr:row>
      <xdr:rowOff>3810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DE906BF-6FB8-4A61-8A34-58A34E5C55C8}"/>
            </a:ext>
          </a:extLst>
        </xdr:cNvPr>
        <xdr:cNvSpPr txBox="1"/>
      </xdr:nvSpPr>
      <xdr:spPr>
        <a:xfrm>
          <a:off x="228600" y="143897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501650</xdr:colOff>
      <xdr:row>72</xdr:row>
      <xdr:rowOff>0</xdr:rowOff>
    </xdr:from>
    <xdr:ext cx="180819" cy="2319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B7423EF-25AF-44F2-8D84-4CB37620AA58}"/>
                </a:ext>
              </a:extLst>
            </xdr:cNvPr>
            <xdr:cNvSpPr txBox="1"/>
          </xdr:nvSpPr>
          <xdr:spPr>
            <a:xfrm>
              <a:off x="501650" y="15161260"/>
              <a:ext cx="180819" cy="231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̂"/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</m:acc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B7423EF-25AF-44F2-8D84-4CB37620AA58}"/>
                </a:ext>
              </a:extLst>
            </xdr:cNvPr>
            <xdr:cNvSpPr txBox="1"/>
          </xdr:nvSpPr>
          <xdr:spPr>
            <a:xfrm>
              <a:off x="501650" y="15161260"/>
              <a:ext cx="180819" cy="231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(𝑠 ̂_𝑡 )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13</xdr:col>
      <xdr:colOff>755649</xdr:colOff>
      <xdr:row>70</xdr:row>
      <xdr:rowOff>222250</xdr:rowOff>
    </xdr:from>
    <xdr:ext cx="379575" cy="2509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E0BD830-56EE-40D2-AF44-7F222E7FCEE3}"/>
                </a:ext>
              </a:extLst>
            </xdr:cNvPr>
            <xdr:cNvSpPr txBox="1"/>
          </xdr:nvSpPr>
          <xdr:spPr>
            <a:xfrm>
              <a:off x="11093449" y="14712950"/>
              <a:ext cx="379575" cy="2509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̿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̂"/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</m:acc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E0BD830-56EE-40D2-AF44-7F222E7FCEE3}"/>
                </a:ext>
              </a:extLst>
            </xdr:cNvPr>
            <xdr:cNvSpPr txBox="1"/>
          </xdr:nvSpPr>
          <xdr:spPr>
            <a:xfrm>
              <a:off x="11093449" y="14712950"/>
              <a:ext cx="379575" cy="2509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(𝑠 ̂_𝑡 ) ̿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243840</xdr:colOff>
      <xdr:row>101</xdr:row>
      <xdr:rowOff>179070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8F5DE10-A82B-4B09-AF60-27AF6DB36F4B}"/>
                </a:ext>
              </a:extLst>
            </xdr:cNvPr>
            <xdr:cNvSpPr txBox="1"/>
          </xdr:nvSpPr>
          <xdr:spPr>
            <a:xfrm>
              <a:off x="240665" y="20299045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8F5DE10-A82B-4B09-AF60-27AF6DB36F4B}"/>
                </a:ext>
              </a:extLst>
            </xdr:cNvPr>
            <xdr:cNvSpPr txBox="1"/>
          </xdr:nvSpPr>
          <xdr:spPr>
            <a:xfrm>
              <a:off x="240665" y="20299045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549434</xdr:colOff>
      <xdr:row>0</xdr:row>
      <xdr:rowOff>356743</xdr:rowOff>
    </xdr:from>
    <xdr:ext cx="187167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E72C8FE-DB1B-4E1A-A047-91B9C677ADF4}"/>
                </a:ext>
              </a:extLst>
            </xdr:cNvPr>
            <xdr:cNvSpPr txBox="1"/>
          </xdr:nvSpPr>
          <xdr:spPr>
            <a:xfrm>
              <a:off x="2225834" y="356743"/>
              <a:ext cx="18716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E72C8FE-DB1B-4E1A-A047-91B9C677ADF4}"/>
                </a:ext>
              </a:extLst>
            </xdr:cNvPr>
            <xdr:cNvSpPr txBox="1"/>
          </xdr:nvSpPr>
          <xdr:spPr>
            <a:xfrm>
              <a:off x="2225834" y="356743"/>
              <a:ext cx="18716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𝑚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308134</xdr:colOff>
      <xdr:row>0</xdr:row>
      <xdr:rowOff>553593</xdr:rowOff>
    </xdr:from>
    <xdr:ext cx="120161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CB8BE1E2-3411-45BB-BC1E-728BD7C231AD}"/>
                </a:ext>
              </a:extLst>
            </xdr:cNvPr>
            <xdr:cNvSpPr txBox="1"/>
          </xdr:nvSpPr>
          <xdr:spPr>
            <a:xfrm>
              <a:off x="2835434" y="553593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CB8BE1E2-3411-45BB-BC1E-728BD7C231AD}"/>
                </a:ext>
              </a:extLst>
            </xdr:cNvPr>
            <xdr:cNvSpPr txBox="1"/>
          </xdr:nvSpPr>
          <xdr:spPr>
            <a:xfrm>
              <a:off x="2835434" y="553593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7</xdr:col>
      <xdr:colOff>355600</xdr:colOff>
      <xdr:row>64</xdr:row>
      <xdr:rowOff>95250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CC3DD181-E42E-4A0D-AEAE-9C6E42A5C33F}"/>
                </a:ext>
              </a:extLst>
            </xdr:cNvPr>
            <xdr:cNvSpPr txBox="1"/>
          </xdr:nvSpPr>
          <xdr:spPr>
            <a:xfrm>
              <a:off x="6007100" y="1282065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CC3DD181-E42E-4A0D-AEAE-9C6E42A5C33F}"/>
                </a:ext>
              </a:extLst>
            </xdr:cNvPr>
            <xdr:cNvSpPr txBox="1"/>
          </xdr:nvSpPr>
          <xdr:spPr>
            <a:xfrm>
              <a:off x="6007100" y="1282065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139700</xdr:colOff>
      <xdr:row>68</xdr:row>
      <xdr:rowOff>16510</xdr:rowOff>
    </xdr:from>
    <xdr:ext cx="13702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D0497318-A545-4B2A-93AC-76AD690B7B31}"/>
                </a:ext>
              </a:extLst>
            </xdr:cNvPr>
            <xdr:cNvSpPr txBox="1"/>
          </xdr:nvSpPr>
          <xdr:spPr>
            <a:xfrm>
              <a:off x="139700" y="14050010"/>
              <a:ext cx="13702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D0497318-A545-4B2A-93AC-76AD690B7B31}"/>
                </a:ext>
              </a:extLst>
            </xdr:cNvPr>
            <xdr:cNvSpPr txBox="1"/>
          </xdr:nvSpPr>
          <xdr:spPr>
            <a:xfrm>
              <a:off x="139700" y="14050010"/>
              <a:ext cx="13702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𝑠 ̂_𝑡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375285</xdr:colOff>
      <xdr:row>72</xdr:row>
      <xdr:rowOff>248920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EDF0A85-6172-484C-8171-68CAD5E758BB}"/>
                </a:ext>
              </a:extLst>
            </xdr:cNvPr>
            <xdr:cNvSpPr txBox="1"/>
          </xdr:nvSpPr>
          <xdr:spPr>
            <a:xfrm>
              <a:off x="375285" y="1526667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EDF0A85-6172-484C-8171-68CAD5E758BB}"/>
                </a:ext>
              </a:extLst>
            </xdr:cNvPr>
            <xdr:cNvSpPr txBox="1"/>
          </xdr:nvSpPr>
          <xdr:spPr>
            <a:xfrm>
              <a:off x="375285" y="1526667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5CA8D-140F-4656-AD4A-A92BAB597FB2}">
  <dimension ref="A1:O138"/>
  <sheetViews>
    <sheetView tabSelected="1" workbookViewId="0">
      <selection sqref="A1:D1"/>
    </sheetView>
  </sheetViews>
  <sheetFormatPr defaultRowHeight="14.5" x14ac:dyDescent="0.35"/>
  <cols>
    <col min="1" max="2" width="12" customWidth="1"/>
    <col min="3" max="3" width="12.1796875" bestFit="1" customWidth="1"/>
    <col min="4" max="6" width="11.1796875" bestFit="1" customWidth="1"/>
    <col min="7" max="13" width="11.1796875" customWidth="1"/>
    <col min="14" max="14" width="15.36328125" customWidth="1"/>
  </cols>
  <sheetData>
    <row r="1" spans="1:4" ht="67.5" customHeight="1" x14ac:dyDescent="0.35">
      <c r="A1" s="22" t="s">
        <v>84</v>
      </c>
      <c r="B1" s="23"/>
      <c r="C1" s="23"/>
      <c r="D1" s="24"/>
    </row>
    <row r="2" spans="1:4" ht="29" x14ac:dyDescent="0.35">
      <c r="A2" s="19" t="s">
        <v>0</v>
      </c>
      <c r="B2" s="20" t="s">
        <v>1</v>
      </c>
      <c r="C2" s="19"/>
      <c r="D2" s="19"/>
    </row>
    <row r="3" spans="1:4" x14ac:dyDescent="0.35">
      <c r="A3" s="21" t="s">
        <v>3</v>
      </c>
      <c r="B3" s="5">
        <v>3034</v>
      </c>
      <c r="C3" s="5" t="s">
        <v>76</v>
      </c>
      <c r="D3" s="5" t="s">
        <v>76</v>
      </c>
    </row>
    <row r="4" spans="1:4" x14ac:dyDescent="0.35">
      <c r="A4" s="21" t="s">
        <v>4</v>
      </c>
      <c r="B4" s="5">
        <v>2748</v>
      </c>
      <c r="C4" s="5" t="s">
        <v>76</v>
      </c>
      <c r="D4" s="5" t="s">
        <v>76</v>
      </c>
    </row>
    <row r="5" spans="1:4" x14ac:dyDescent="0.35">
      <c r="A5" s="21" t="s">
        <v>5</v>
      </c>
      <c r="B5" s="5">
        <v>3164</v>
      </c>
      <c r="C5" s="5" t="s">
        <v>76</v>
      </c>
      <c r="D5" s="5" t="s">
        <v>76</v>
      </c>
    </row>
    <row r="6" spans="1:4" x14ac:dyDescent="0.35">
      <c r="A6" s="21" t="s">
        <v>6</v>
      </c>
      <c r="B6" s="5">
        <v>3238</v>
      </c>
      <c r="C6" s="5" t="s">
        <v>76</v>
      </c>
      <c r="D6" s="5" t="s">
        <v>76</v>
      </c>
    </row>
    <row r="7" spans="1:4" x14ac:dyDescent="0.35">
      <c r="A7" s="21" t="s">
        <v>7</v>
      </c>
      <c r="B7" s="5">
        <v>3416</v>
      </c>
      <c r="C7" s="5" t="s">
        <v>76</v>
      </c>
      <c r="D7" s="5" t="s">
        <v>76</v>
      </c>
    </row>
    <row r="8" spans="1:4" x14ac:dyDescent="0.35">
      <c r="A8" s="21" t="s">
        <v>8</v>
      </c>
      <c r="B8" s="5">
        <v>3492</v>
      </c>
      <c r="C8" s="5" t="s">
        <v>76</v>
      </c>
      <c r="D8" s="5" t="s">
        <v>76</v>
      </c>
    </row>
    <row r="9" spans="1:4" x14ac:dyDescent="0.35">
      <c r="A9" s="21" t="s">
        <v>9</v>
      </c>
      <c r="B9" s="5">
        <v>3730</v>
      </c>
      <c r="C9" s="4">
        <f>(0.5*B3+SUM(B4:B14)+0.5*B15)/12</f>
        <v>3351.5833333333335</v>
      </c>
      <c r="D9" s="4">
        <f>B9-C9</f>
        <v>378.41666666666652</v>
      </c>
    </row>
    <row r="10" spans="1:4" x14ac:dyDescent="0.35">
      <c r="A10" s="21" t="s">
        <v>10</v>
      </c>
      <c r="B10" s="5">
        <v>3409</v>
      </c>
      <c r="C10" s="4">
        <f t="shared" ref="C10:C56" si="0">(0.5*B4+SUM(B5:B15)+0.5*B16)/12</f>
        <v>3350</v>
      </c>
      <c r="D10" s="30">
        <f t="shared" ref="D10:D56" si="1">B10-C10</f>
        <v>59</v>
      </c>
    </row>
    <row r="11" spans="1:4" x14ac:dyDescent="0.35">
      <c r="A11" s="21" t="s">
        <v>11</v>
      </c>
      <c r="B11" s="5">
        <v>3572</v>
      </c>
      <c r="C11" s="4">
        <f t="shared" si="0"/>
        <v>3343.2083333333335</v>
      </c>
      <c r="D11" s="30">
        <f t="shared" si="1"/>
        <v>228.79166666666652</v>
      </c>
    </row>
    <row r="12" spans="1:4" x14ac:dyDescent="0.35">
      <c r="A12" s="21" t="s">
        <v>12</v>
      </c>
      <c r="B12" s="5">
        <v>3629</v>
      </c>
      <c r="C12" s="4">
        <f t="shared" si="0"/>
        <v>3326.2083333333335</v>
      </c>
      <c r="D12" s="30">
        <f t="shared" si="1"/>
        <v>302.79166666666652</v>
      </c>
    </row>
    <row r="13" spans="1:4" x14ac:dyDescent="0.35">
      <c r="A13" s="21" t="s">
        <v>13</v>
      </c>
      <c r="B13" s="5">
        <v>3408</v>
      </c>
      <c r="C13" s="4">
        <f t="shared" si="0"/>
        <v>3316.5416666666665</v>
      </c>
      <c r="D13" s="30">
        <f t="shared" si="1"/>
        <v>91.458333333333485</v>
      </c>
    </row>
    <row r="14" spans="1:4" x14ac:dyDescent="0.35">
      <c r="A14" s="21" t="s">
        <v>14</v>
      </c>
      <c r="B14" s="5">
        <v>3391</v>
      </c>
      <c r="C14" s="4">
        <f t="shared" si="0"/>
        <v>3318.5833333333335</v>
      </c>
      <c r="D14" s="30">
        <f t="shared" si="1"/>
        <v>72.416666666666515</v>
      </c>
    </row>
    <row r="15" spans="1:4" x14ac:dyDescent="0.35">
      <c r="A15" s="21" t="s">
        <v>15</v>
      </c>
      <c r="B15" s="5">
        <v>3010</v>
      </c>
      <c r="C15" s="4">
        <f t="shared" si="0"/>
        <v>3312.0833333333335</v>
      </c>
      <c r="D15" s="4">
        <f t="shared" si="1"/>
        <v>-302.08333333333348</v>
      </c>
    </row>
    <row r="16" spans="1:4" x14ac:dyDescent="0.35">
      <c r="A16" s="21" t="s">
        <v>16</v>
      </c>
      <c r="B16" s="5">
        <v>2734</v>
      </c>
      <c r="C16" s="4">
        <f t="shared" si="0"/>
        <v>3308.0416666666665</v>
      </c>
      <c r="D16" s="2"/>
    </row>
    <row r="17" spans="1:4" x14ac:dyDescent="0.35">
      <c r="A17" s="21" t="s">
        <v>17</v>
      </c>
      <c r="B17" s="5">
        <v>3015</v>
      </c>
      <c r="C17" s="4">
        <f t="shared" si="0"/>
        <v>3311.7083333333335</v>
      </c>
      <c r="D17" s="2"/>
    </row>
    <row r="18" spans="1:4" x14ac:dyDescent="0.35">
      <c r="A18" s="21" t="s">
        <v>18</v>
      </c>
      <c r="B18" s="5">
        <v>2979</v>
      </c>
      <c r="C18" s="4">
        <f t="shared" si="0"/>
        <v>3313.1666666666665</v>
      </c>
      <c r="D18" s="2"/>
    </row>
    <row r="19" spans="1:4" x14ac:dyDescent="0.35">
      <c r="A19" s="21" t="s">
        <v>19</v>
      </c>
      <c r="B19" s="5">
        <v>3443</v>
      </c>
      <c r="C19" s="4">
        <f t="shared" si="0"/>
        <v>3307.75</v>
      </c>
      <c r="D19" s="2"/>
    </row>
    <row r="20" spans="1:4" x14ac:dyDescent="0.35">
      <c r="A20" s="21" t="s">
        <v>20</v>
      </c>
      <c r="B20" s="5">
        <v>3514</v>
      </c>
      <c r="C20" s="4">
        <f t="shared" si="0"/>
        <v>3292.4166666666665</v>
      </c>
      <c r="D20" s="2"/>
    </row>
    <row r="21" spans="1:4" x14ac:dyDescent="0.35">
      <c r="A21" s="21" t="s">
        <v>21</v>
      </c>
      <c r="B21" s="5">
        <v>3552</v>
      </c>
      <c r="C21" s="4">
        <f t="shared" si="0"/>
        <v>3281.0833333333335</v>
      </c>
      <c r="D21" s="2"/>
    </row>
    <row r="22" spans="1:4" x14ac:dyDescent="0.35">
      <c r="A22" s="21" t="s">
        <v>22</v>
      </c>
      <c r="B22" s="5">
        <v>3490</v>
      </c>
      <c r="C22" s="4">
        <f t="shared" si="0"/>
        <v>3270.2083333333335</v>
      </c>
      <c r="D22" s="2"/>
    </row>
    <row r="23" spans="1:4" x14ac:dyDescent="0.35">
      <c r="A23" s="21" t="s">
        <v>23</v>
      </c>
      <c r="B23" s="5">
        <v>3579</v>
      </c>
      <c r="C23" s="4">
        <f t="shared" si="0"/>
        <v>3259.4583333333335</v>
      </c>
      <c r="D23" s="2"/>
    </row>
    <row r="24" spans="1:4" x14ac:dyDescent="0.35">
      <c r="A24" s="21" t="s">
        <v>24</v>
      </c>
      <c r="B24" s="5">
        <v>3657</v>
      </c>
      <c r="C24" s="4">
        <f t="shared" si="0"/>
        <v>3261.1666666666665</v>
      </c>
      <c r="D24" s="2"/>
    </row>
    <row r="25" spans="1:4" x14ac:dyDescent="0.35">
      <c r="A25" s="21" t="s">
        <v>25</v>
      </c>
      <c r="B25" s="5">
        <v>3250</v>
      </c>
      <c r="C25" s="4">
        <f t="shared" si="0"/>
        <v>3264.25</v>
      </c>
      <c r="D25" s="2"/>
    </row>
    <row r="26" spans="1:4" x14ac:dyDescent="0.35">
      <c r="A26" s="21" t="s">
        <v>26</v>
      </c>
      <c r="B26" s="5">
        <v>3181</v>
      </c>
      <c r="C26" s="4">
        <f t="shared" si="0"/>
        <v>3260.4583333333335</v>
      </c>
      <c r="D26" s="2"/>
    </row>
    <row r="27" spans="1:4" x14ac:dyDescent="0.35">
      <c r="A27" s="21" t="s">
        <v>27</v>
      </c>
      <c r="B27" s="5">
        <v>2948</v>
      </c>
      <c r="C27" s="4">
        <f t="shared" si="0"/>
        <v>3256.7083333333335</v>
      </c>
      <c r="D27" s="4">
        <f t="shared" si="1"/>
        <v>-308.70833333333348</v>
      </c>
    </row>
    <row r="28" spans="1:4" x14ac:dyDescent="0.35">
      <c r="A28" s="21" t="s">
        <v>28</v>
      </c>
      <c r="B28" s="5">
        <v>2535</v>
      </c>
      <c r="C28" s="4">
        <f t="shared" si="0"/>
        <v>3262.125</v>
      </c>
      <c r="D28" s="2"/>
    </row>
    <row r="29" spans="1:4" x14ac:dyDescent="0.35">
      <c r="A29" s="21" t="s">
        <v>29</v>
      </c>
      <c r="B29" s="5">
        <v>2956</v>
      </c>
      <c r="C29" s="4">
        <f t="shared" si="0"/>
        <v>3267.0833333333335</v>
      </c>
      <c r="D29" s="2"/>
    </row>
    <row r="30" spans="1:4" x14ac:dyDescent="0.35">
      <c r="A30" s="21" t="s">
        <v>30</v>
      </c>
      <c r="B30" s="5">
        <v>3079</v>
      </c>
      <c r="C30" s="4">
        <f t="shared" si="0"/>
        <v>3259.2916666666665</v>
      </c>
      <c r="D30" s="2"/>
    </row>
    <row r="31" spans="1:4" x14ac:dyDescent="0.35">
      <c r="A31" s="21" t="s">
        <v>31</v>
      </c>
      <c r="B31" s="5">
        <v>3417</v>
      </c>
      <c r="C31" s="4">
        <f t="shared" si="0"/>
        <v>3254</v>
      </c>
      <c r="D31" s="2"/>
    </row>
    <row r="32" spans="1:4" x14ac:dyDescent="0.35">
      <c r="A32" s="21" t="s">
        <v>32</v>
      </c>
      <c r="B32" s="5">
        <v>3449</v>
      </c>
      <c r="C32" s="4">
        <f t="shared" si="0"/>
        <v>3256.9583333333335</v>
      </c>
      <c r="D32" s="2"/>
    </row>
    <row r="33" spans="1:4" x14ac:dyDescent="0.35">
      <c r="A33" s="21" t="s">
        <v>33</v>
      </c>
      <c r="B33" s="5">
        <v>3527</v>
      </c>
      <c r="C33" s="4">
        <f t="shared" si="0"/>
        <v>3256.7083333333335</v>
      </c>
      <c r="D33" s="2"/>
    </row>
    <row r="34" spans="1:4" x14ac:dyDescent="0.35">
      <c r="A34" s="21" t="s">
        <v>34</v>
      </c>
      <c r="B34" s="5">
        <v>3645</v>
      </c>
      <c r="C34" s="4">
        <f t="shared" si="0"/>
        <v>3269</v>
      </c>
      <c r="D34" s="2"/>
    </row>
    <row r="35" spans="1:4" x14ac:dyDescent="0.35">
      <c r="A35" s="21" t="s">
        <v>35</v>
      </c>
      <c r="B35" s="5">
        <v>3543</v>
      </c>
      <c r="C35" s="4">
        <f t="shared" si="0"/>
        <v>3279.0833333333335</v>
      </c>
      <c r="D35" s="2"/>
    </row>
    <row r="36" spans="1:4" x14ac:dyDescent="0.35">
      <c r="A36" s="21" t="s">
        <v>36</v>
      </c>
      <c r="B36" s="5">
        <v>3506</v>
      </c>
      <c r="C36" s="4">
        <f t="shared" si="0"/>
        <v>3252.8333333333335</v>
      </c>
      <c r="D36" s="2"/>
    </row>
    <row r="37" spans="1:4" x14ac:dyDescent="0.35">
      <c r="A37" s="21" t="s">
        <v>37</v>
      </c>
      <c r="B37" s="5">
        <v>3274</v>
      </c>
      <c r="C37" s="4">
        <f t="shared" si="0"/>
        <v>3228.0416666666665</v>
      </c>
      <c r="D37" s="2"/>
    </row>
    <row r="38" spans="1:4" x14ac:dyDescent="0.35">
      <c r="A38" s="21" t="s">
        <v>38</v>
      </c>
      <c r="B38" s="5">
        <v>3228</v>
      </c>
      <c r="C38" s="4">
        <f t="shared" si="0"/>
        <v>3248.2083333333335</v>
      </c>
      <c r="D38" s="2"/>
    </row>
    <row r="39" spans="1:4" x14ac:dyDescent="0.35">
      <c r="A39" s="21" t="s">
        <v>39</v>
      </c>
      <c r="B39" s="5">
        <v>2895</v>
      </c>
      <c r="C39" s="4">
        <f t="shared" si="0"/>
        <v>3294.2916666666665</v>
      </c>
      <c r="D39" s="4">
        <f t="shared" si="1"/>
        <v>-399.29166666666652</v>
      </c>
    </row>
    <row r="40" spans="1:4" x14ac:dyDescent="0.35">
      <c r="A40" s="21" t="s">
        <v>40</v>
      </c>
      <c r="B40" s="5">
        <v>2883</v>
      </c>
      <c r="C40" s="4">
        <f t="shared" si="0"/>
        <v>3340.3333333333335</v>
      </c>
      <c r="D40" s="2"/>
    </row>
    <row r="41" spans="1:4" x14ac:dyDescent="0.35">
      <c r="A41" s="21" t="s">
        <v>41</v>
      </c>
      <c r="B41" s="5">
        <v>2850</v>
      </c>
      <c r="C41" s="4">
        <f t="shared" si="0"/>
        <v>3384.6666666666665</v>
      </c>
      <c r="D41" s="2"/>
    </row>
    <row r="42" spans="1:4" x14ac:dyDescent="0.35">
      <c r="A42" s="21" t="s">
        <v>42</v>
      </c>
      <c r="B42" s="5">
        <v>2555</v>
      </c>
      <c r="C42" s="4">
        <f t="shared" si="0"/>
        <v>3433.5416666666665</v>
      </c>
      <c r="D42" s="2"/>
    </row>
    <row r="43" spans="1:4" x14ac:dyDescent="0.35">
      <c r="A43" s="21" t="s">
        <v>43</v>
      </c>
      <c r="B43" s="5">
        <v>3346</v>
      </c>
      <c r="C43" s="4">
        <f t="shared" si="0"/>
        <v>3481.2916666666665</v>
      </c>
      <c r="D43" s="2"/>
    </row>
    <row r="44" spans="1:4" x14ac:dyDescent="0.35">
      <c r="A44" s="21" t="s">
        <v>44</v>
      </c>
      <c r="B44" s="5">
        <v>4004</v>
      </c>
      <c r="C44" s="4">
        <f t="shared" si="0"/>
        <v>3514.8333333333335</v>
      </c>
      <c r="D44" s="2"/>
    </row>
    <row r="45" spans="1:4" x14ac:dyDescent="0.35">
      <c r="A45" s="21" t="s">
        <v>45</v>
      </c>
      <c r="B45" s="5">
        <v>4078</v>
      </c>
      <c r="C45" s="4">
        <f t="shared" si="0"/>
        <v>3549.875</v>
      </c>
      <c r="D45" s="2"/>
    </row>
    <row r="46" spans="1:4" x14ac:dyDescent="0.35">
      <c r="A46" s="21" t="s">
        <v>46</v>
      </c>
      <c r="B46" s="5">
        <v>4199</v>
      </c>
      <c r="C46" s="4">
        <f t="shared" si="0"/>
        <v>3567.7083333333335</v>
      </c>
      <c r="D46" s="2"/>
    </row>
    <row r="47" spans="1:4" x14ac:dyDescent="0.35">
      <c r="A47" s="21" t="s">
        <v>47</v>
      </c>
      <c r="B47" s="5">
        <v>4053</v>
      </c>
      <c r="C47" s="4">
        <f t="shared" si="0"/>
        <v>3590.6666666666665</v>
      </c>
      <c r="D47" s="2"/>
    </row>
    <row r="48" spans="1:4" x14ac:dyDescent="0.35">
      <c r="A48" s="21" t="s">
        <v>48</v>
      </c>
      <c r="B48" s="5">
        <v>4169</v>
      </c>
      <c r="C48" s="4">
        <f t="shared" si="0"/>
        <v>3672.125</v>
      </c>
      <c r="D48" s="2"/>
    </row>
    <row r="49" spans="1:4" x14ac:dyDescent="0.35">
      <c r="A49" s="21" t="s">
        <v>49</v>
      </c>
      <c r="B49" s="5">
        <v>3757</v>
      </c>
      <c r="C49" s="4">
        <f t="shared" si="0"/>
        <v>3758.1666666666665</v>
      </c>
      <c r="D49" s="2"/>
    </row>
    <row r="50" spans="1:4" x14ac:dyDescent="0.35">
      <c r="A50" s="21" t="s">
        <v>50</v>
      </c>
      <c r="B50" s="5">
        <v>3550</v>
      </c>
      <c r="C50" s="4">
        <f t="shared" si="0"/>
        <v>3793.7916666666665</v>
      </c>
      <c r="D50" s="2"/>
    </row>
    <row r="51" spans="1:4" x14ac:dyDescent="0.35">
      <c r="A51" s="21" t="s">
        <v>51</v>
      </c>
      <c r="B51" s="5">
        <v>3414</v>
      </c>
      <c r="C51" s="4">
        <f t="shared" si="0"/>
        <v>3804.8333333333335</v>
      </c>
      <c r="D51" s="4">
        <f t="shared" si="1"/>
        <v>-390.83333333333348</v>
      </c>
    </row>
    <row r="52" spans="1:4" x14ac:dyDescent="0.35">
      <c r="A52" s="21" t="s">
        <v>52</v>
      </c>
      <c r="B52" s="5">
        <v>2792</v>
      </c>
      <c r="C52" s="4">
        <f t="shared" si="0"/>
        <v>3816.625</v>
      </c>
      <c r="D52" s="2"/>
    </row>
    <row r="53" spans="1:4" x14ac:dyDescent="0.35">
      <c r="A53" s="21" t="s">
        <v>53</v>
      </c>
      <c r="B53" s="5">
        <v>3492</v>
      </c>
      <c r="C53" s="4">
        <f t="shared" si="0"/>
        <v>3830.9583333333335</v>
      </c>
      <c r="D53" s="2"/>
    </row>
    <row r="54" spans="1:4" x14ac:dyDescent="0.35">
      <c r="A54" s="21" t="s">
        <v>54</v>
      </c>
      <c r="B54" s="5">
        <v>3868</v>
      </c>
      <c r="C54" s="4">
        <f t="shared" si="0"/>
        <v>3853.2916666666665</v>
      </c>
      <c r="D54" s="2"/>
    </row>
    <row r="55" spans="1:4" x14ac:dyDescent="0.35">
      <c r="A55" s="21" t="s">
        <v>55</v>
      </c>
      <c r="B55" s="5">
        <v>4098</v>
      </c>
      <c r="C55" s="4">
        <f t="shared" si="0"/>
        <v>3875.5</v>
      </c>
      <c r="D55" s="2"/>
    </row>
    <row r="56" spans="1:4" x14ac:dyDescent="0.35">
      <c r="A56" s="21" t="s">
        <v>56</v>
      </c>
      <c r="B56" s="5">
        <v>4107</v>
      </c>
      <c r="C56" s="4">
        <f t="shared" si="0"/>
        <v>3899.8333333333335</v>
      </c>
      <c r="D56" s="4">
        <f t="shared" si="1"/>
        <v>207.16666666666652</v>
      </c>
    </row>
    <row r="57" spans="1:4" x14ac:dyDescent="0.35">
      <c r="A57" s="21" t="s">
        <v>57</v>
      </c>
      <c r="B57" s="5">
        <v>4240</v>
      </c>
      <c r="C57" s="4" t="s">
        <v>76</v>
      </c>
      <c r="D57" s="4" t="s">
        <v>76</v>
      </c>
    </row>
    <row r="58" spans="1:4" x14ac:dyDescent="0.35">
      <c r="A58" s="21" t="s">
        <v>58</v>
      </c>
      <c r="B58" s="5">
        <v>4320</v>
      </c>
      <c r="C58" s="4" t="s">
        <v>76</v>
      </c>
      <c r="D58" s="4" t="s">
        <v>76</v>
      </c>
    </row>
    <row r="59" spans="1:4" x14ac:dyDescent="0.35">
      <c r="A59" s="21" t="s">
        <v>59</v>
      </c>
      <c r="B59" s="5">
        <v>4276</v>
      </c>
      <c r="C59" s="4" t="s">
        <v>76</v>
      </c>
      <c r="D59" s="4" t="s">
        <v>76</v>
      </c>
    </row>
    <row r="60" spans="1:4" x14ac:dyDescent="0.35">
      <c r="A60" s="21" t="s">
        <v>60</v>
      </c>
      <c r="B60" s="5">
        <v>4482</v>
      </c>
      <c r="C60" s="4" t="s">
        <v>76</v>
      </c>
      <c r="D60" s="4" t="s">
        <v>76</v>
      </c>
    </row>
    <row r="61" spans="1:4" x14ac:dyDescent="0.35">
      <c r="A61" s="21" t="s">
        <v>61</v>
      </c>
      <c r="B61" s="5">
        <v>3977</v>
      </c>
      <c r="C61" s="4" t="s">
        <v>76</v>
      </c>
      <c r="D61" s="4" t="s">
        <v>76</v>
      </c>
    </row>
    <row r="62" spans="1:4" x14ac:dyDescent="0.35">
      <c r="A62" s="21" t="s">
        <v>62</v>
      </c>
      <c r="B62" s="5">
        <v>3914</v>
      </c>
      <c r="C62" s="5" t="s">
        <v>76</v>
      </c>
      <c r="D62" s="4" t="s">
        <v>76</v>
      </c>
    </row>
    <row r="63" spans="1:4" x14ac:dyDescent="0.35">
      <c r="B63" t="s">
        <v>75</v>
      </c>
    </row>
    <row r="64" spans="1:4" x14ac:dyDescent="0.35">
      <c r="B64" t="s">
        <v>75</v>
      </c>
    </row>
    <row r="65" spans="1:15" ht="34.75" customHeight="1" x14ac:dyDescent="0.35">
      <c r="A65" s="25" t="s">
        <v>82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3"/>
    </row>
    <row r="66" spans="1:15" s="6" customFormat="1" ht="18" customHeight="1" x14ac:dyDescent="0.35">
      <c r="A66" s="18" t="s">
        <v>81</v>
      </c>
      <c r="B66" s="11" t="s">
        <v>63</v>
      </c>
      <c r="C66" s="11" t="s">
        <v>64</v>
      </c>
      <c r="D66" s="11" t="s">
        <v>65</v>
      </c>
      <c r="E66" s="11" t="s">
        <v>66</v>
      </c>
      <c r="F66" s="11" t="s">
        <v>67</v>
      </c>
      <c r="G66" s="11" t="s">
        <v>68</v>
      </c>
      <c r="H66" s="11" t="s">
        <v>69</v>
      </c>
      <c r="I66" s="11" t="s">
        <v>70</v>
      </c>
      <c r="J66" s="11" t="s">
        <v>71</v>
      </c>
      <c r="K66" s="11" t="s">
        <v>72</v>
      </c>
      <c r="L66" s="11" t="s">
        <v>73</v>
      </c>
      <c r="M66" s="12" t="s">
        <v>74</v>
      </c>
      <c r="N66" s="13"/>
    </row>
    <row r="67" spans="1:15" s="6" customFormat="1" ht="18" customHeight="1" x14ac:dyDescent="0.35">
      <c r="A67" s="10">
        <v>2017</v>
      </c>
      <c r="B67" s="7" t="str" cm="1">
        <f t="array" ref="B67:M67">TRANSPOSE(D3:D14)</f>
        <v>NA</v>
      </c>
      <c r="C67" s="7" t="str">
        <v>NA</v>
      </c>
      <c r="D67" s="7" t="str">
        <v>NA</v>
      </c>
      <c r="E67" s="7" t="str">
        <v>NA</v>
      </c>
      <c r="F67" s="7" t="str">
        <v>NA</v>
      </c>
      <c r="G67" s="7" t="str">
        <v>NA</v>
      </c>
      <c r="H67" s="8">
        <v>378.41666666666652</v>
      </c>
      <c r="I67" s="31">
        <v>59</v>
      </c>
      <c r="J67" s="31">
        <v>228.79166666666652</v>
      </c>
      <c r="K67" s="31">
        <v>302.79166666666652</v>
      </c>
      <c r="L67" s="31">
        <v>91.458333333333485</v>
      </c>
      <c r="M67" s="31">
        <v>72.416666666666515</v>
      </c>
      <c r="N67" s="14"/>
    </row>
    <row r="68" spans="1:15" s="6" customFormat="1" ht="18" customHeight="1" x14ac:dyDescent="0.35">
      <c r="A68" s="10">
        <v>2018</v>
      </c>
      <c r="B68" s="8">
        <v>-302.08333333333348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14"/>
    </row>
    <row r="69" spans="1:15" s="6" customFormat="1" ht="18" customHeight="1" x14ac:dyDescent="0.35">
      <c r="A69" s="10">
        <v>2019</v>
      </c>
      <c r="B69" s="8">
        <v>-308.70833333333348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14"/>
    </row>
    <row r="70" spans="1:15" s="6" customFormat="1" ht="18" customHeight="1" x14ac:dyDescent="0.35">
      <c r="A70" s="10">
        <v>2020</v>
      </c>
      <c r="B70" s="8">
        <v>-399.29166666666652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</row>
    <row r="71" spans="1:15" s="6" customFormat="1" ht="18" customHeight="1" x14ac:dyDescent="0.35">
      <c r="A71" s="10">
        <v>2021</v>
      </c>
      <c r="B71" s="8">
        <v>-390.83333333333348</v>
      </c>
      <c r="C71" s="9"/>
      <c r="D71" s="9"/>
      <c r="E71" s="9"/>
      <c r="F71" s="9"/>
      <c r="G71" s="8">
        <v>207.16666666666652</v>
      </c>
      <c r="H71" s="7" t="s">
        <v>76</v>
      </c>
      <c r="I71" s="7" t="s">
        <v>76</v>
      </c>
      <c r="J71" s="7" t="s">
        <v>76</v>
      </c>
      <c r="K71" s="7" t="s">
        <v>76</v>
      </c>
      <c r="L71" s="7" t="s">
        <v>76</v>
      </c>
      <c r="M71" s="7" t="s">
        <v>76</v>
      </c>
      <c r="N71" s="14"/>
    </row>
    <row r="72" spans="1:15" s="6" customFormat="1" ht="20.5" customHeight="1" x14ac:dyDescent="0.35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2"/>
      <c r="N72" s="15" t="s">
        <v>79</v>
      </c>
    </row>
    <row r="73" spans="1:15" s="6" customFormat="1" ht="18" customHeight="1" x14ac:dyDescent="0.35">
      <c r="A73" s="16" t="s">
        <v>77</v>
      </c>
      <c r="B73" s="8">
        <v>-350.22916666666674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6" t="s">
        <v>78</v>
      </c>
    </row>
    <row r="74" spans="1:15" ht="18" customHeight="1" x14ac:dyDescent="0.35">
      <c r="A74" s="16"/>
      <c r="B74" s="8">
        <v>-345.22309027777783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7"/>
      <c r="O74" s="6"/>
    </row>
    <row r="77" spans="1:15" ht="52" customHeight="1" x14ac:dyDescent="0.35">
      <c r="A77" s="27" t="s">
        <v>83</v>
      </c>
      <c r="B77" s="28"/>
      <c r="C77" s="28"/>
      <c r="D77" s="28"/>
      <c r="E77" s="28"/>
      <c r="F77" s="28"/>
      <c r="G77" s="29"/>
    </row>
    <row r="78" spans="1:15" ht="60" customHeight="1" x14ac:dyDescent="0.35">
      <c r="A78" s="19" t="s">
        <v>0</v>
      </c>
      <c r="B78" s="20" t="s">
        <v>1</v>
      </c>
      <c r="C78" s="19"/>
      <c r="D78" s="19"/>
      <c r="E78" s="19"/>
      <c r="F78" s="19" t="s">
        <v>2</v>
      </c>
      <c r="G78" s="20" t="s">
        <v>80</v>
      </c>
    </row>
    <row r="79" spans="1:15" x14ac:dyDescent="0.35">
      <c r="A79" s="21" t="s">
        <v>3</v>
      </c>
      <c r="B79" s="5">
        <f t="shared" ref="B79:C95" si="2">B3</f>
        <v>3034</v>
      </c>
      <c r="C79" s="5" t="str">
        <f t="shared" si="2"/>
        <v>NA</v>
      </c>
      <c r="D79" s="5" t="str">
        <f t="shared" ref="D79:D110" si="3">IF(LEN(D3)&gt;0,D3,"")</f>
        <v>NA</v>
      </c>
      <c r="E79" s="4">
        <v>-345.22309027777783</v>
      </c>
      <c r="F79" s="5" t="s">
        <v>76</v>
      </c>
      <c r="G79" s="4">
        <v>3379.2230902777778</v>
      </c>
    </row>
    <row r="80" spans="1:15" x14ac:dyDescent="0.35">
      <c r="A80" s="21" t="s">
        <v>4</v>
      </c>
      <c r="B80" s="5">
        <f t="shared" si="2"/>
        <v>2748</v>
      </c>
      <c r="C80" s="5" t="str">
        <f t="shared" si="2"/>
        <v>NA</v>
      </c>
      <c r="D80" s="5" t="str">
        <f t="shared" si="3"/>
        <v>NA</v>
      </c>
      <c r="E80" s="4">
        <v>-690.77517361111109</v>
      </c>
      <c r="F80" s="5" t="s">
        <v>76</v>
      </c>
      <c r="G80" s="4">
        <v>3438.7751736111113</v>
      </c>
    </row>
    <row r="81" spans="1:8" x14ac:dyDescent="0.35">
      <c r="A81" s="21" t="s">
        <v>5</v>
      </c>
      <c r="B81" s="5">
        <f t="shared" si="2"/>
        <v>3164</v>
      </c>
      <c r="C81" s="5" t="str">
        <f t="shared" si="2"/>
        <v>NA</v>
      </c>
      <c r="D81" s="5" t="str">
        <f t="shared" si="3"/>
        <v>NA</v>
      </c>
      <c r="E81" s="2"/>
      <c r="F81" s="5" t="s">
        <v>76</v>
      </c>
      <c r="G81" s="2"/>
    </row>
    <row r="82" spans="1:8" x14ac:dyDescent="0.35">
      <c r="A82" s="21" t="s">
        <v>6</v>
      </c>
      <c r="B82" s="5">
        <f t="shared" si="2"/>
        <v>3238</v>
      </c>
      <c r="C82" s="5" t="str">
        <f t="shared" si="2"/>
        <v>NA</v>
      </c>
      <c r="D82" s="5" t="str">
        <f t="shared" si="3"/>
        <v>NA</v>
      </c>
      <c r="E82" s="2"/>
      <c r="F82" s="5" t="s">
        <v>76</v>
      </c>
      <c r="G82" s="2"/>
    </row>
    <row r="83" spans="1:8" x14ac:dyDescent="0.35">
      <c r="A83" s="21" t="s">
        <v>7</v>
      </c>
      <c r="B83" s="5">
        <f t="shared" si="2"/>
        <v>3416</v>
      </c>
      <c r="C83" s="5" t="str">
        <f t="shared" si="2"/>
        <v>NA</v>
      </c>
      <c r="D83" s="5" t="str">
        <f t="shared" si="3"/>
        <v>NA</v>
      </c>
      <c r="E83" s="2"/>
      <c r="F83" s="5" t="s">
        <v>76</v>
      </c>
      <c r="G83" s="2"/>
    </row>
    <row r="84" spans="1:8" x14ac:dyDescent="0.35">
      <c r="A84" s="21" t="s">
        <v>8</v>
      </c>
      <c r="B84" s="5">
        <f t="shared" si="2"/>
        <v>3492</v>
      </c>
      <c r="C84" s="5" t="str">
        <f t="shared" si="2"/>
        <v>NA</v>
      </c>
      <c r="D84" s="5" t="str">
        <f t="shared" si="3"/>
        <v>NA</v>
      </c>
      <c r="E84" s="2"/>
      <c r="F84" s="5" t="s">
        <v>76</v>
      </c>
      <c r="G84" s="2"/>
    </row>
    <row r="85" spans="1:8" x14ac:dyDescent="0.35">
      <c r="A85" s="21" t="s">
        <v>9</v>
      </c>
      <c r="B85" s="5">
        <f t="shared" si="2"/>
        <v>3730</v>
      </c>
      <c r="C85" s="4">
        <f t="shared" si="2"/>
        <v>3351.5833333333335</v>
      </c>
      <c r="D85" s="4">
        <f t="shared" si="3"/>
        <v>378.41666666666652</v>
      </c>
      <c r="E85" s="2"/>
      <c r="F85" s="4">
        <v>11.473090277777715</v>
      </c>
      <c r="G85" s="2"/>
    </row>
    <row r="86" spans="1:8" x14ac:dyDescent="0.35">
      <c r="A86" s="21" t="s">
        <v>10</v>
      </c>
      <c r="B86" s="5">
        <f t="shared" si="2"/>
        <v>3409</v>
      </c>
      <c r="C86" s="4">
        <f t="shared" si="2"/>
        <v>3350</v>
      </c>
      <c r="D86" s="30">
        <f t="shared" si="3"/>
        <v>59</v>
      </c>
      <c r="E86" s="2"/>
      <c r="F86" s="4">
        <v>-267.52690972222217</v>
      </c>
      <c r="G86" s="2"/>
    </row>
    <row r="87" spans="1:8" x14ac:dyDescent="0.35">
      <c r="A87" s="21" t="s">
        <v>11</v>
      </c>
      <c r="B87" s="5">
        <f t="shared" si="2"/>
        <v>3572</v>
      </c>
      <c r="C87" s="4">
        <f t="shared" si="2"/>
        <v>3343.2083333333335</v>
      </c>
      <c r="D87" s="30">
        <f t="shared" si="3"/>
        <v>228.79166666666652</v>
      </c>
      <c r="E87" s="2"/>
      <c r="F87" s="2"/>
      <c r="G87" s="2"/>
    </row>
    <row r="88" spans="1:8" x14ac:dyDescent="0.35">
      <c r="A88" s="21" t="s">
        <v>12</v>
      </c>
      <c r="B88" s="5">
        <f t="shared" si="2"/>
        <v>3629</v>
      </c>
      <c r="C88" s="4">
        <f t="shared" si="2"/>
        <v>3326.2083333333335</v>
      </c>
      <c r="D88" s="30">
        <f t="shared" si="3"/>
        <v>302.79166666666652</v>
      </c>
      <c r="E88" s="2"/>
      <c r="F88" s="2"/>
      <c r="G88" s="2"/>
    </row>
    <row r="89" spans="1:8" x14ac:dyDescent="0.35">
      <c r="A89" s="21" t="s">
        <v>13</v>
      </c>
      <c r="B89" s="5">
        <f t="shared" si="2"/>
        <v>3408</v>
      </c>
      <c r="C89" s="4">
        <f t="shared" si="2"/>
        <v>3316.5416666666665</v>
      </c>
      <c r="D89" s="30">
        <f t="shared" si="3"/>
        <v>91.458333333333485</v>
      </c>
      <c r="E89" s="2"/>
      <c r="F89" s="2"/>
      <c r="G89" s="2"/>
    </row>
    <row r="90" spans="1:8" x14ac:dyDescent="0.35">
      <c r="A90" s="21" t="s">
        <v>14</v>
      </c>
      <c r="B90" s="5">
        <f t="shared" si="2"/>
        <v>3391</v>
      </c>
      <c r="C90" s="4">
        <f t="shared" si="2"/>
        <v>3318.5833333333335</v>
      </c>
      <c r="D90" s="30">
        <f t="shared" si="3"/>
        <v>72.416666666666515</v>
      </c>
      <c r="E90" s="2"/>
      <c r="F90" s="2"/>
      <c r="G90" s="2"/>
    </row>
    <row r="91" spans="1:8" x14ac:dyDescent="0.35">
      <c r="A91" s="21" t="s">
        <v>15</v>
      </c>
      <c r="B91" s="5">
        <f t="shared" si="2"/>
        <v>3010</v>
      </c>
      <c r="C91" s="4">
        <f t="shared" si="2"/>
        <v>3312.0833333333335</v>
      </c>
      <c r="D91" s="4">
        <f t="shared" si="3"/>
        <v>-302.08333333333348</v>
      </c>
      <c r="E91" s="2"/>
      <c r="F91" s="2"/>
      <c r="G91" s="2"/>
    </row>
    <row r="92" spans="1:8" x14ac:dyDescent="0.35">
      <c r="A92" s="21" t="s">
        <v>16</v>
      </c>
      <c r="B92" s="5">
        <f t="shared" si="2"/>
        <v>2734</v>
      </c>
      <c r="C92" s="4">
        <f t="shared" si="2"/>
        <v>3308.0416666666665</v>
      </c>
      <c r="D92" s="2" t="str">
        <f t="shared" si="3"/>
        <v/>
      </c>
      <c r="E92" s="2"/>
      <c r="F92" s="2"/>
      <c r="G92" s="2"/>
    </row>
    <row r="93" spans="1:8" x14ac:dyDescent="0.35">
      <c r="A93" s="21" t="s">
        <v>17</v>
      </c>
      <c r="B93" s="5">
        <f t="shared" si="2"/>
        <v>3015</v>
      </c>
      <c r="C93" s="4">
        <f t="shared" si="2"/>
        <v>3311.7083333333335</v>
      </c>
      <c r="D93" s="2" t="str">
        <f t="shared" si="3"/>
        <v/>
      </c>
      <c r="E93" s="2"/>
      <c r="F93" s="2"/>
      <c r="G93" s="2"/>
    </row>
    <row r="94" spans="1:8" x14ac:dyDescent="0.35">
      <c r="A94" s="21" t="s">
        <v>18</v>
      </c>
      <c r="B94" s="5">
        <f t="shared" si="2"/>
        <v>2979</v>
      </c>
      <c r="C94" s="4">
        <f t="shared" si="2"/>
        <v>3313.1666666666665</v>
      </c>
      <c r="D94" s="2" t="str">
        <f t="shared" si="3"/>
        <v/>
      </c>
      <c r="E94" s="2"/>
      <c r="F94" s="2"/>
      <c r="G94" s="2"/>
    </row>
    <row r="95" spans="1:8" x14ac:dyDescent="0.35">
      <c r="A95" s="21" t="s">
        <v>19</v>
      </c>
      <c r="B95" s="5">
        <f t="shared" si="2"/>
        <v>3443</v>
      </c>
      <c r="C95" s="4">
        <f t="shared" si="2"/>
        <v>3307.75</v>
      </c>
      <c r="D95" s="2" t="str">
        <f t="shared" si="3"/>
        <v/>
      </c>
      <c r="E95" s="2"/>
      <c r="F95" s="2"/>
      <c r="G95" s="2"/>
      <c r="H95" s="1"/>
    </row>
    <row r="96" spans="1:8" x14ac:dyDescent="0.35">
      <c r="A96" s="21" t="s">
        <v>20</v>
      </c>
      <c r="B96" s="5">
        <f t="shared" ref="B96:C111" si="4">B20</f>
        <v>3514</v>
      </c>
      <c r="C96" s="4">
        <f t="shared" si="4"/>
        <v>3292.4166666666665</v>
      </c>
      <c r="D96" s="2" t="str">
        <f t="shared" si="3"/>
        <v/>
      </c>
      <c r="E96" s="2"/>
      <c r="F96" s="2"/>
      <c r="G96" s="2"/>
    </row>
    <row r="97" spans="1:13" x14ac:dyDescent="0.35">
      <c r="A97" s="21" t="s">
        <v>21</v>
      </c>
      <c r="B97" s="5">
        <f t="shared" si="4"/>
        <v>3552</v>
      </c>
      <c r="C97" s="4">
        <f t="shared" si="4"/>
        <v>3281.0833333333335</v>
      </c>
      <c r="D97" s="2" t="str">
        <f t="shared" si="3"/>
        <v/>
      </c>
      <c r="E97" s="2"/>
      <c r="F97" s="2"/>
      <c r="G97" s="2"/>
    </row>
    <row r="98" spans="1:13" x14ac:dyDescent="0.35">
      <c r="A98" s="21" t="s">
        <v>22</v>
      </c>
      <c r="B98" s="5">
        <f t="shared" si="4"/>
        <v>3490</v>
      </c>
      <c r="C98" s="4">
        <f t="shared" si="4"/>
        <v>3270.2083333333335</v>
      </c>
      <c r="D98" s="2" t="str">
        <f t="shared" si="3"/>
        <v/>
      </c>
      <c r="E98" s="2"/>
      <c r="F98" s="2"/>
      <c r="G98" s="2"/>
    </row>
    <row r="99" spans="1:13" x14ac:dyDescent="0.35">
      <c r="A99" s="21" t="s">
        <v>23</v>
      </c>
      <c r="B99" s="5">
        <f t="shared" si="4"/>
        <v>3579</v>
      </c>
      <c r="C99" s="4">
        <f t="shared" si="4"/>
        <v>3259.4583333333335</v>
      </c>
      <c r="D99" s="2" t="str">
        <f t="shared" si="3"/>
        <v/>
      </c>
      <c r="E99" s="2"/>
      <c r="F99" s="2"/>
      <c r="G99" s="2"/>
    </row>
    <row r="100" spans="1:13" x14ac:dyDescent="0.35">
      <c r="A100" s="21" t="s">
        <v>24</v>
      </c>
      <c r="B100" s="5">
        <f t="shared" si="4"/>
        <v>3657</v>
      </c>
      <c r="C100" s="4">
        <f t="shared" si="4"/>
        <v>3261.1666666666665</v>
      </c>
      <c r="D100" s="2" t="str">
        <f t="shared" si="3"/>
        <v/>
      </c>
      <c r="E100" s="2"/>
      <c r="F100" s="2"/>
      <c r="G100" s="2"/>
    </row>
    <row r="101" spans="1:13" x14ac:dyDescent="0.35">
      <c r="A101" s="21" t="s">
        <v>25</v>
      </c>
      <c r="B101" s="5">
        <f t="shared" si="4"/>
        <v>3250</v>
      </c>
      <c r="C101" s="4">
        <f t="shared" si="4"/>
        <v>3264.25</v>
      </c>
      <c r="D101" s="2" t="str">
        <f t="shared" si="3"/>
        <v/>
      </c>
      <c r="E101" s="2"/>
      <c r="F101" s="2"/>
      <c r="G101" s="2"/>
    </row>
    <row r="102" spans="1:13" x14ac:dyDescent="0.35">
      <c r="A102" s="21" t="s">
        <v>26</v>
      </c>
      <c r="B102" s="5">
        <f t="shared" si="4"/>
        <v>3181</v>
      </c>
      <c r="C102" s="4">
        <f t="shared" si="4"/>
        <v>3260.4583333333335</v>
      </c>
      <c r="D102" s="2" t="str">
        <f t="shared" si="3"/>
        <v/>
      </c>
      <c r="E102" s="2"/>
      <c r="F102" s="2"/>
      <c r="G102" s="2"/>
    </row>
    <row r="103" spans="1:13" x14ac:dyDescent="0.35">
      <c r="A103" s="21" t="s">
        <v>27</v>
      </c>
      <c r="B103" s="5">
        <f t="shared" si="4"/>
        <v>2948</v>
      </c>
      <c r="C103" s="4">
        <f t="shared" si="4"/>
        <v>3256.7083333333335</v>
      </c>
      <c r="D103" s="4">
        <f t="shared" si="3"/>
        <v>-308.70833333333348</v>
      </c>
      <c r="E103" s="2"/>
      <c r="F103" s="2"/>
      <c r="G103" s="2"/>
    </row>
    <row r="104" spans="1:13" x14ac:dyDescent="0.35">
      <c r="A104" s="21" t="s">
        <v>28</v>
      </c>
      <c r="B104" s="5">
        <f t="shared" si="4"/>
        <v>2535</v>
      </c>
      <c r="C104" s="4">
        <f t="shared" si="4"/>
        <v>3262.125</v>
      </c>
      <c r="D104" s="2" t="str">
        <f t="shared" si="3"/>
        <v/>
      </c>
      <c r="E104" s="2"/>
      <c r="F104" s="2"/>
      <c r="G104" s="2"/>
    </row>
    <row r="105" spans="1:13" x14ac:dyDescent="0.35">
      <c r="A105" s="21" t="s">
        <v>29</v>
      </c>
      <c r="B105" s="5">
        <f t="shared" si="4"/>
        <v>2956</v>
      </c>
      <c r="C105" s="4">
        <f t="shared" si="4"/>
        <v>3267.0833333333335</v>
      </c>
      <c r="D105" s="2" t="str">
        <f t="shared" si="3"/>
        <v/>
      </c>
      <c r="E105" s="2"/>
      <c r="F105" s="2"/>
      <c r="G105" s="2"/>
    </row>
    <row r="106" spans="1:13" x14ac:dyDescent="0.35">
      <c r="A106" s="21" t="s">
        <v>30</v>
      </c>
      <c r="B106" s="5">
        <f t="shared" si="4"/>
        <v>3079</v>
      </c>
      <c r="C106" s="4">
        <f t="shared" si="4"/>
        <v>3259.2916666666665</v>
      </c>
      <c r="D106" s="2" t="str">
        <f t="shared" si="3"/>
        <v/>
      </c>
      <c r="E106" s="2"/>
      <c r="F106" s="2"/>
      <c r="G106" s="2"/>
    </row>
    <row r="107" spans="1:13" x14ac:dyDescent="0.35">
      <c r="A107" s="21" t="s">
        <v>31</v>
      </c>
      <c r="B107" s="5">
        <f t="shared" si="4"/>
        <v>3417</v>
      </c>
      <c r="C107" s="4">
        <f t="shared" si="4"/>
        <v>3254</v>
      </c>
      <c r="D107" s="2" t="str">
        <f t="shared" si="3"/>
        <v/>
      </c>
      <c r="E107" s="2"/>
      <c r="F107" s="2"/>
      <c r="G107" s="2"/>
    </row>
    <row r="108" spans="1:13" x14ac:dyDescent="0.35">
      <c r="A108" s="21" t="s">
        <v>32</v>
      </c>
      <c r="B108" s="5">
        <f t="shared" si="4"/>
        <v>3449</v>
      </c>
      <c r="C108" s="4">
        <f t="shared" si="4"/>
        <v>3256.9583333333335</v>
      </c>
      <c r="D108" s="2" t="str">
        <f t="shared" si="3"/>
        <v/>
      </c>
      <c r="E108" s="2"/>
      <c r="F108" s="2"/>
      <c r="G108" s="2"/>
      <c r="H108" s="1"/>
      <c r="I108" s="1"/>
      <c r="J108" s="1"/>
      <c r="K108" s="1"/>
      <c r="L108" s="1"/>
      <c r="M108" s="1"/>
    </row>
    <row r="109" spans="1:13" x14ac:dyDescent="0.35">
      <c r="A109" s="21" t="s">
        <v>33</v>
      </c>
      <c r="B109" s="5">
        <f t="shared" si="4"/>
        <v>3527</v>
      </c>
      <c r="C109" s="4">
        <f t="shared" si="4"/>
        <v>3256.7083333333335</v>
      </c>
      <c r="D109" s="2" t="str">
        <f t="shared" si="3"/>
        <v/>
      </c>
      <c r="E109" s="2"/>
      <c r="F109" s="2"/>
      <c r="G109" s="2"/>
      <c r="H109" s="1"/>
      <c r="I109" s="1"/>
      <c r="J109" s="1"/>
      <c r="K109" s="1"/>
      <c r="L109" s="1"/>
      <c r="M109" s="1"/>
    </row>
    <row r="110" spans="1:13" x14ac:dyDescent="0.35">
      <c r="A110" s="21" t="s">
        <v>34</v>
      </c>
      <c r="B110" s="5">
        <f t="shared" si="4"/>
        <v>3645</v>
      </c>
      <c r="C110" s="4">
        <f t="shared" si="4"/>
        <v>3269</v>
      </c>
      <c r="D110" s="2" t="str">
        <f t="shared" si="3"/>
        <v/>
      </c>
      <c r="E110" s="2"/>
      <c r="F110" s="2"/>
      <c r="G110" s="2"/>
      <c r="H110" s="1"/>
      <c r="I110" s="1"/>
      <c r="J110" s="1"/>
      <c r="K110" s="1"/>
      <c r="L110" s="1"/>
      <c r="M110" s="1"/>
    </row>
    <row r="111" spans="1:13" x14ac:dyDescent="0.35">
      <c r="A111" s="21" t="s">
        <v>35</v>
      </c>
      <c r="B111" s="5">
        <f t="shared" si="4"/>
        <v>3543</v>
      </c>
      <c r="C111" s="4">
        <f t="shared" si="4"/>
        <v>3279.0833333333335</v>
      </c>
      <c r="D111" s="2" t="str">
        <f t="shared" ref="D111:D138" si="5">IF(LEN(D35)&gt;0,D35,"")</f>
        <v/>
      </c>
      <c r="E111" s="2"/>
      <c r="F111" s="2"/>
      <c r="G111" s="2"/>
      <c r="H111" s="1"/>
      <c r="I111" s="1"/>
      <c r="J111" s="1"/>
      <c r="K111" s="1"/>
      <c r="L111" s="1"/>
      <c r="M111" s="1"/>
    </row>
    <row r="112" spans="1:13" x14ac:dyDescent="0.35">
      <c r="A112" s="21" t="s">
        <v>36</v>
      </c>
      <c r="B112" s="5">
        <f t="shared" ref="B112:C127" si="6">B36</f>
        <v>3506</v>
      </c>
      <c r="C112" s="4">
        <f t="shared" si="6"/>
        <v>3252.8333333333335</v>
      </c>
      <c r="D112" s="2" t="str">
        <f t="shared" si="5"/>
        <v/>
      </c>
      <c r="E112" s="2"/>
      <c r="F112" s="2"/>
      <c r="G112" s="2"/>
    </row>
    <row r="113" spans="1:14" x14ac:dyDescent="0.35">
      <c r="A113" s="21" t="s">
        <v>37</v>
      </c>
      <c r="B113" s="5">
        <f t="shared" si="6"/>
        <v>3274</v>
      </c>
      <c r="C113" s="4">
        <f t="shared" si="6"/>
        <v>3228.0416666666665</v>
      </c>
      <c r="D113" s="2" t="str">
        <f t="shared" si="5"/>
        <v/>
      </c>
      <c r="E113" s="2"/>
      <c r="F113" s="2"/>
      <c r="G113" s="2"/>
      <c r="H113" s="1"/>
      <c r="I113" s="1"/>
      <c r="J113" s="1"/>
      <c r="K113" s="1"/>
      <c r="L113" s="1"/>
      <c r="M113" s="1"/>
    </row>
    <row r="114" spans="1:14" x14ac:dyDescent="0.35">
      <c r="A114" s="21" t="s">
        <v>38</v>
      </c>
      <c r="B114" s="5">
        <f t="shared" si="6"/>
        <v>3228</v>
      </c>
      <c r="C114" s="4">
        <f t="shared" si="6"/>
        <v>3248.2083333333335</v>
      </c>
      <c r="D114" s="2" t="str">
        <f t="shared" si="5"/>
        <v/>
      </c>
      <c r="E114" s="2"/>
      <c r="F114" s="2"/>
      <c r="G114" s="2"/>
      <c r="H114" s="1"/>
      <c r="I114" s="1"/>
      <c r="J114" s="1"/>
      <c r="K114" s="1"/>
      <c r="L114" s="1"/>
      <c r="M114" s="1"/>
      <c r="N114" s="1"/>
    </row>
    <row r="115" spans="1:14" x14ac:dyDescent="0.35">
      <c r="A115" s="21" t="s">
        <v>39</v>
      </c>
      <c r="B115" s="5">
        <f t="shared" si="6"/>
        <v>2895</v>
      </c>
      <c r="C115" s="4">
        <f t="shared" si="6"/>
        <v>3294.2916666666665</v>
      </c>
      <c r="D115" s="4">
        <f t="shared" si="5"/>
        <v>-399.29166666666652</v>
      </c>
      <c r="E115" s="2"/>
      <c r="F115" s="2"/>
      <c r="G115" s="2"/>
    </row>
    <row r="116" spans="1:14" x14ac:dyDescent="0.35">
      <c r="A116" s="21" t="s">
        <v>40</v>
      </c>
      <c r="B116" s="5">
        <f t="shared" si="6"/>
        <v>2883</v>
      </c>
      <c r="C116" s="4">
        <f t="shared" si="6"/>
        <v>3340.3333333333335</v>
      </c>
      <c r="D116" s="2" t="str">
        <f t="shared" si="5"/>
        <v/>
      </c>
      <c r="E116" s="2"/>
      <c r="F116" s="2"/>
      <c r="G116" s="2"/>
    </row>
    <row r="117" spans="1:14" x14ac:dyDescent="0.35">
      <c r="A117" s="21" t="s">
        <v>41</v>
      </c>
      <c r="B117" s="5">
        <f t="shared" si="6"/>
        <v>2850</v>
      </c>
      <c r="C117" s="4">
        <f t="shared" si="6"/>
        <v>3384.6666666666665</v>
      </c>
      <c r="D117" s="2" t="str">
        <f t="shared" si="5"/>
        <v/>
      </c>
      <c r="E117" s="2"/>
      <c r="F117" s="2"/>
      <c r="G117" s="2"/>
    </row>
    <row r="118" spans="1:14" x14ac:dyDescent="0.35">
      <c r="A118" s="21" t="s">
        <v>42</v>
      </c>
      <c r="B118" s="5">
        <f t="shared" si="6"/>
        <v>2555</v>
      </c>
      <c r="C118" s="4">
        <f t="shared" si="6"/>
        <v>3433.5416666666665</v>
      </c>
      <c r="D118" s="2" t="str">
        <f t="shared" si="5"/>
        <v/>
      </c>
      <c r="E118" s="2"/>
      <c r="F118" s="2"/>
      <c r="G118" s="2"/>
    </row>
    <row r="119" spans="1:14" x14ac:dyDescent="0.35">
      <c r="A119" s="21" t="s">
        <v>43</v>
      </c>
      <c r="B119" s="5">
        <f t="shared" si="6"/>
        <v>3346</v>
      </c>
      <c r="C119" s="4">
        <f t="shared" si="6"/>
        <v>3481.2916666666665</v>
      </c>
      <c r="D119" s="2" t="str">
        <f t="shared" si="5"/>
        <v/>
      </c>
      <c r="E119" s="2"/>
      <c r="F119" s="2"/>
      <c r="G119" s="2"/>
    </row>
    <row r="120" spans="1:14" x14ac:dyDescent="0.35">
      <c r="A120" s="21" t="s">
        <v>44</v>
      </c>
      <c r="B120" s="5">
        <f t="shared" si="6"/>
        <v>4004</v>
      </c>
      <c r="C120" s="4">
        <f t="shared" si="6"/>
        <v>3514.8333333333335</v>
      </c>
      <c r="D120" s="2" t="str">
        <f t="shared" si="5"/>
        <v/>
      </c>
      <c r="E120" s="2"/>
      <c r="F120" s="2"/>
      <c r="G120" s="2"/>
    </row>
    <row r="121" spans="1:14" x14ac:dyDescent="0.35">
      <c r="A121" s="21" t="s">
        <v>45</v>
      </c>
      <c r="B121" s="5">
        <f t="shared" si="6"/>
        <v>4078</v>
      </c>
      <c r="C121" s="4">
        <f t="shared" si="6"/>
        <v>3549.875</v>
      </c>
      <c r="D121" s="2" t="str">
        <f t="shared" si="5"/>
        <v/>
      </c>
      <c r="E121" s="2"/>
      <c r="F121" s="2"/>
      <c r="G121" s="2"/>
    </row>
    <row r="122" spans="1:14" x14ac:dyDescent="0.35">
      <c r="A122" s="21" t="s">
        <v>46</v>
      </c>
      <c r="B122" s="5">
        <f t="shared" si="6"/>
        <v>4199</v>
      </c>
      <c r="C122" s="4">
        <f t="shared" si="6"/>
        <v>3567.7083333333335</v>
      </c>
      <c r="D122" s="2" t="str">
        <f t="shared" si="5"/>
        <v/>
      </c>
      <c r="E122" s="2"/>
      <c r="F122" s="2"/>
      <c r="G122" s="2"/>
    </row>
    <row r="123" spans="1:14" x14ac:dyDescent="0.35">
      <c r="A123" s="21" t="s">
        <v>47</v>
      </c>
      <c r="B123" s="5">
        <f t="shared" si="6"/>
        <v>4053</v>
      </c>
      <c r="C123" s="4">
        <f t="shared" si="6"/>
        <v>3590.6666666666665</v>
      </c>
      <c r="D123" s="2" t="str">
        <f t="shared" si="5"/>
        <v/>
      </c>
      <c r="E123" s="2"/>
      <c r="F123" s="2"/>
      <c r="G123" s="2"/>
    </row>
    <row r="124" spans="1:14" x14ac:dyDescent="0.35">
      <c r="A124" s="21" t="s">
        <v>48</v>
      </c>
      <c r="B124" s="5">
        <f t="shared" si="6"/>
        <v>4169</v>
      </c>
      <c r="C124" s="4">
        <f t="shared" si="6"/>
        <v>3672.125</v>
      </c>
      <c r="D124" s="2" t="str">
        <f t="shared" si="5"/>
        <v/>
      </c>
      <c r="E124" s="2"/>
      <c r="F124" s="2"/>
      <c r="G124" s="2"/>
    </row>
    <row r="125" spans="1:14" x14ac:dyDescent="0.35">
      <c r="A125" s="21" t="s">
        <v>49</v>
      </c>
      <c r="B125" s="5">
        <f t="shared" si="6"/>
        <v>3757</v>
      </c>
      <c r="C125" s="4">
        <f t="shared" si="6"/>
        <v>3758.1666666666665</v>
      </c>
      <c r="D125" s="2" t="str">
        <f t="shared" si="5"/>
        <v/>
      </c>
      <c r="E125" s="2"/>
      <c r="F125" s="2"/>
      <c r="G125" s="2"/>
    </row>
    <row r="126" spans="1:14" x14ac:dyDescent="0.35">
      <c r="A126" s="21" t="s">
        <v>50</v>
      </c>
      <c r="B126" s="5">
        <f t="shared" si="6"/>
        <v>3550</v>
      </c>
      <c r="C126" s="4">
        <f t="shared" si="6"/>
        <v>3793.7916666666665</v>
      </c>
      <c r="D126" s="2" t="str">
        <f t="shared" si="5"/>
        <v/>
      </c>
      <c r="E126" s="2"/>
      <c r="F126" s="2"/>
      <c r="G126" s="2"/>
    </row>
    <row r="127" spans="1:14" x14ac:dyDescent="0.35">
      <c r="A127" s="21" t="s">
        <v>51</v>
      </c>
      <c r="B127" s="5">
        <f t="shared" si="6"/>
        <v>3414</v>
      </c>
      <c r="C127" s="4">
        <f t="shared" si="6"/>
        <v>3804.8333333333335</v>
      </c>
      <c r="D127" s="4">
        <f t="shared" si="5"/>
        <v>-390.83333333333348</v>
      </c>
      <c r="E127" s="2"/>
      <c r="F127" s="2"/>
      <c r="G127" s="2"/>
    </row>
    <row r="128" spans="1:14" x14ac:dyDescent="0.35">
      <c r="A128" s="21" t="s">
        <v>52</v>
      </c>
      <c r="B128" s="5">
        <f t="shared" ref="B128:C138" si="7">B52</f>
        <v>2792</v>
      </c>
      <c r="C128" s="4">
        <f t="shared" si="7"/>
        <v>3816.625</v>
      </c>
      <c r="D128" s="2" t="str">
        <f t="shared" si="5"/>
        <v/>
      </c>
      <c r="E128" s="2"/>
      <c r="F128" s="2"/>
      <c r="G128" s="2"/>
    </row>
    <row r="129" spans="1:7" x14ac:dyDescent="0.35">
      <c r="A129" s="21" t="s">
        <v>53</v>
      </c>
      <c r="B129" s="5">
        <f t="shared" si="7"/>
        <v>3492</v>
      </c>
      <c r="C129" s="4">
        <f t="shared" si="7"/>
        <v>3830.9583333333335</v>
      </c>
      <c r="D129" s="2" t="str">
        <f t="shared" si="5"/>
        <v/>
      </c>
      <c r="E129" s="2"/>
      <c r="F129" s="2"/>
      <c r="G129" s="2"/>
    </row>
    <row r="130" spans="1:7" x14ac:dyDescent="0.35">
      <c r="A130" s="21" t="s">
        <v>54</v>
      </c>
      <c r="B130" s="5">
        <f t="shared" si="7"/>
        <v>3868</v>
      </c>
      <c r="C130" s="4">
        <f t="shared" si="7"/>
        <v>3853.2916666666665</v>
      </c>
      <c r="D130" s="2" t="str">
        <f t="shared" si="5"/>
        <v/>
      </c>
      <c r="E130" s="2"/>
      <c r="F130" s="2"/>
      <c r="G130" s="2"/>
    </row>
    <row r="131" spans="1:7" x14ac:dyDescent="0.35">
      <c r="A131" s="21" t="s">
        <v>55</v>
      </c>
      <c r="B131" s="5">
        <f t="shared" si="7"/>
        <v>4098</v>
      </c>
      <c r="C131" s="4">
        <f t="shared" si="7"/>
        <v>3875.5</v>
      </c>
      <c r="D131" s="2" t="str">
        <f t="shared" si="5"/>
        <v/>
      </c>
      <c r="E131" s="2"/>
      <c r="F131" s="2"/>
      <c r="G131" s="2"/>
    </row>
    <row r="132" spans="1:7" x14ac:dyDescent="0.35">
      <c r="A132" s="21" t="s">
        <v>56</v>
      </c>
      <c r="B132" s="5">
        <f t="shared" si="7"/>
        <v>4107</v>
      </c>
      <c r="C132" s="4">
        <f t="shared" si="7"/>
        <v>3899.8333333333335</v>
      </c>
      <c r="D132" s="4">
        <f t="shared" si="5"/>
        <v>207.16666666666652</v>
      </c>
      <c r="E132" s="2"/>
      <c r="F132" s="2"/>
      <c r="G132" s="2"/>
    </row>
    <row r="133" spans="1:7" x14ac:dyDescent="0.35">
      <c r="A133" s="21" t="s">
        <v>57</v>
      </c>
      <c r="B133" s="5">
        <f t="shared" si="7"/>
        <v>4240</v>
      </c>
      <c r="C133" s="5" t="str">
        <f t="shared" si="7"/>
        <v>NA</v>
      </c>
      <c r="D133" s="4" t="str">
        <f t="shared" si="5"/>
        <v>NA</v>
      </c>
      <c r="E133" s="2"/>
      <c r="F133" s="2"/>
      <c r="G133" s="2"/>
    </row>
    <row r="134" spans="1:7" x14ac:dyDescent="0.35">
      <c r="A134" s="21" t="s">
        <v>58</v>
      </c>
      <c r="B134" s="5">
        <f t="shared" si="7"/>
        <v>4320</v>
      </c>
      <c r="C134" s="5" t="str">
        <f t="shared" si="7"/>
        <v>NA</v>
      </c>
      <c r="D134" s="4" t="str">
        <f t="shared" si="5"/>
        <v>NA</v>
      </c>
      <c r="E134" s="2"/>
      <c r="F134" s="2"/>
      <c r="G134" s="2"/>
    </row>
    <row r="135" spans="1:7" x14ac:dyDescent="0.35">
      <c r="A135" s="21" t="s">
        <v>59</v>
      </c>
      <c r="B135" s="5">
        <f t="shared" si="7"/>
        <v>4276</v>
      </c>
      <c r="C135" s="5" t="str">
        <f t="shared" si="7"/>
        <v>NA</v>
      </c>
      <c r="D135" s="4" t="str">
        <f t="shared" si="5"/>
        <v>NA</v>
      </c>
      <c r="E135" s="2"/>
      <c r="F135" s="2"/>
      <c r="G135" s="2"/>
    </row>
    <row r="136" spans="1:7" x14ac:dyDescent="0.35">
      <c r="A136" s="21" t="s">
        <v>60</v>
      </c>
      <c r="B136" s="5">
        <f t="shared" si="7"/>
        <v>4482</v>
      </c>
      <c r="C136" s="5" t="str">
        <f t="shared" si="7"/>
        <v>NA</v>
      </c>
      <c r="D136" s="4" t="str">
        <f t="shared" si="5"/>
        <v>NA</v>
      </c>
      <c r="E136" s="2"/>
      <c r="F136" s="2"/>
      <c r="G136" s="2"/>
    </row>
    <row r="137" spans="1:7" x14ac:dyDescent="0.35">
      <c r="A137" s="21" t="s">
        <v>61</v>
      </c>
      <c r="B137" s="5">
        <f t="shared" si="7"/>
        <v>3977</v>
      </c>
      <c r="C137" s="5" t="str">
        <f t="shared" si="7"/>
        <v>NA</v>
      </c>
      <c r="D137" s="4" t="str">
        <f t="shared" si="5"/>
        <v>NA</v>
      </c>
      <c r="E137" s="2"/>
      <c r="F137" s="2"/>
      <c r="G137" s="2"/>
    </row>
    <row r="138" spans="1:7" x14ac:dyDescent="0.35">
      <c r="A138" s="21" t="s">
        <v>62</v>
      </c>
      <c r="B138" s="5">
        <f t="shared" si="7"/>
        <v>3914</v>
      </c>
      <c r="C138" s="5" t="str">
        <f t="shared" si="7"/>
        <v>NA</v>
      </c>
      <c r="D138" s="4" t="str">
        <f t="shared" si="5"/>
        <v>NA</v>
      </c>
      <c r="E138" s="2"/>
      <c r="F138" s="2"/>
      <c r="G138" s="2"/>
    </row>
  </sheetData>
  <mergeCells count="3">
    <mergeCell ref="A1:D1"/>
    <mergeCell ref="A65:M65"/>
    <mergeCell ref="A77:G77"/>
  </mergeCells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1cba85-b018-40b2-9d9a-243cd5b6fae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75838E79B0E48B83E8E3F5479A3A2" ma:contentTypeVersion="9" ma:contentTypeDescription="Create a new document." ma:contentTypeScope="" ma:versionID="2b0c304636f8f537543cd13f583db9d4">
  <xsd:schema xmlns:xsd="http://www.w3.org/2001/XMLSchema" xmlns:xs="http://www.w3.org/2001/XMLSchema" xmlns:p="http://schemas.microsoft.com/office/2006/metadata/properties" xmlns:ns3="ca1cba85-b018-40b2-9d9a-243cd5b6fae5" xmlns:ns4="f1fb8133-dfcb-4ab3-83e1-bcafde3f766a" targetNamespace="http://schemas.microsoft.com/office/2006/metadata/properties" ma:root="true" ma:fieldsID="0f089f22c5ce4e61126931f7622145b2" ns3:_="" ns4:_="">
    <xsd:import namespace="ca1cba85-b018-40b2-9d9a-243cd5b6fae5"/>
    <xsd:import namespace="f1fb8133-dfcb-4ab3-83e1-bcafde3f76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cba85-b018-40b2-9d9a-243cd5b6f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b8133-dfcb-4ab3-83e1-bcafde3f76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E1B631-90B0-4D19-A35E-F8DC8BE167A4}">
  <ds:schemaRefs>
    <ds:schemaRef ds:uri="ca1cba85-b018-40b2-9d9a-243cd5b6fae5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f1fb8133-dfcb-4ab3-83e1-bcafde3f766a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96E0334-A0AA-41B5-AE21-CAD1C9D107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DDC771-C014-4A48-9FCA-802C556EA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cba85-b018-40b2-9d9a-243cd5b6fae5"/>
    <ds:schemaRef ds:uri="f1fb8133-dfcb-4ab3-83e1-bcafde3f76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Brost, Tyson</dc:creator>
  <cp:lastModifiedBy>Craig Johnson</cp:lastModifiedBy>
  <dcterms:created xsi:type="dcterms:W3CDTF">2024-09-16T15:34:20Z</dcterms:created>
  <dcterms:modified xsi:type="dcterms:W3CDTF">2026-09-25T23:48:57Z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0x01010070F75838E79B0E48B83E8E3F5479A3A2</vt:lpwstr>
  </property>
</Properties>
</file>