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aigaj\Documents\GitHub\timeseries\handouts\"/>
    </mc:Choice>
  </mc:AlternateContent>
  <xr:revisionPtr revIDLastSave="0" documentId="13_ncr:1_{99BF4CA8-18C5-43EE-9812-55BD45BEF5BA}" xr6:coauthVersionLast="47" xr6:coauthVersionMax="47" xr10:uidLastSave="{00000000-0000-0000-0000-000000000000}"/>
  <bookViews>
    <workbookView xWindow="17745" yWindow="-16320" windowWidth="29040" windowHeight="15720" xr2:uid="{CB73943A-C465-40BE-817C-B9991112161C}"/>
  </bookViews>
  <sheets>
    <sheet name="Key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9" i="3" l="1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B133" i="3"/>
  <c r="C132" i="3"/>
  <c r="B132" i="3"/>
  <c r="C131" i="3"/>
  <c r="B131" i="3"/>
  <c r="B130" i="3"/>
  <c r="B129" i="3"/>
  <c r="B128" i="3"/>
  <c r="B127" i="3"/>
  <c r="B126" i="3"/>
  <c r="B125" i="3"/>
  <c r="B124" i="3"/>
  <c r="B123" i="3"/>
  <c r="C122" i="3"/>
  <c r="B122" i="3"/>
  <c r="C121" i="3"/>
  <c r="B121" i="3"/>
  <c r="B120" i="3"/>
  <c r="B119" i="3"/>
  <c r="C118" i="3"/>
  <c r="B118" i="3"/>
  <c r="B117" i="3"/>
  <c r="C116" i="3"/>
  <c r="B116" i="3"/>
  <c r="C115" i="3"/>
  <c r="B115" i="3"/>
  <c r="C114" i="3"/>
  <c r="B114" i="3"/>
  <c r="C113" i="3"/>
  <c r="B113" i="3"/>
  <c r="C112" i="3"/>
  <c r="B112" i="3"/>
  <c r="B111" i="3"/>
  <c r="B110" i="3"/>
  <c r="B109" i="3"/>
  <c r="C108" i="3"/>
  <c r="B108" i="3"/>
  <c r="B107" i="3"/>
  <c r="C106" i="3"/>
  <c r="B106" i="3"/>
  <c r="B105" i="3"/>
  <c r="B104" i="3"/>
  <c r="B103" i="3"/>
  <c r="B102" i="3"/>
  <c r="B101" i="3"/>
  <c r="C100" i="3"/>
  <c r="B100" i="3"/>
  <c r="B99" i="3"/>
  <c r="C98" i="3"/>
  <c r="B98" i="3"/>
  <c r="C97" i="3"/>
  <c r="B97" i="3"/>
  <c r="B96" i="3"/>
  <c r="B95" i="3"/>
  <c r="B94" i="3"/>
  <c r="B93" i="3"/>
  <c r="C92" i="3"/>
  <c r="B92" i="3"/>
  <c r="C91" i="3"/>
  <c r="B91" i="3"/>
  <c r="B90" i="3"/>
  <c r="B89" i="3"/>
  <c r="C88" i="3"/>
  <c r="B88" i="3"/>
  <c r="B87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D62" i="3"/>
  <c r="D61" i="3"/>
  <c r="D60" i="3"/>
  <c r="D59" i="3"/>
  <c r="D58" i="3"/>
  <c r="D57" i="3"/>
  <c r="C56" i="3"/>
  <c r="C133" i="3" s="1"/>
  <c r="C55" i="3"/>
  <c r="D55" i="3" s="1"/>
  <c r="C54" i="3"/>
  <c r="D54" i="3" s="1"/>
  <c r="D53" i="3"/>
  <c r="C53" i="3"/>
  <c r="C130" i="3" s="1"/>
  <c r="C52" i="3"/>
  <c r="C51" i="3"/>
  <c r="C50" i="3"/>
  <c r="C127" i="3" s="1"/>
  <c r="C49" i="3"/>
  <c r="C48" i="3"/>
  <c r="C47" i="3"/>
  <c r="C124" i="3" s="1"/>
  <c r="C46" i="3"/>
  <c r="D46" i="3" s="1"/>
  <c r="D45" i="3"/>
  <c r="C45" i="3"/>
  <c r="C44" i="3"/>
  <c r="D44" i="3" s="1"/>
  <c r="C43" i="3"/>
  <c r="C42" i="3"/>
  <c r="C41" i="3"/>
  <c r="D41" i="3" s="1"/>
  <c r="C40" i="3"/>
  <c r="C39" i="3"/>
  <c r="D39" i="3" s="1"/>
  <c r="C38" i="3"/>
  <c r="D38" i="3" s="1"/>
  <c r="D37" i="3"/>
  <c r="C37" i="3"/>
  <c r="C36" i="3"/>
  <c r="D36" i="3" s="1"/>
  <c r="C35" i="3"/>
  <c r="D35" i="3" s="1"/>
  <c r="C34" i="3"/>
  <c r="D34" i="3" s="1"/>
  <c r="C33" i="3"/>
  <c r="C32" i="3"/>
  <c r="C109" i="3" s="1"/>
  <c r="C31" i="3"/>
  <c r="C30" i="3"/>
  <c r="D30" i="3" s="1"/>
  <c r="D29" i="3"/>
  <c r="C29" i="3"/>
  <c r="C28" i="3"/>
  <c r="C105" i="3" s="1"/>
  <c r="C27" i="3"/>
  <c r="C26" i="3"/>
  <c r="D25" i="3"/>
  <c r="C25" i="3"/>
  <c r="C24" i="3"/>
  <c r="C23" i="3"/>
  <c r="D23" i="3" s="1"/>
  <c r="C22" i="3"/>
  <c r="D22" i="3" s="1"/>
  <c r="D21" i="3"/>
  <c r="C21" i="3"/>
  <c r="C20" i="3"/>
  <c r="D20" i="3" s="1"/>
  <c r="C19" i="3"/>
  <c r="C18" i="3"/>
  <c r="C17" i="3"/>
  <c r="D17" i="3" s="1"/>
  <c r="C16" i="3"/>
  <c r="C93" i="3" s="1"/>
  <c r="C15" i="3"/>
  <c r="D15" i="3" s="1"/>
  <c r="C14" i="3"/>
  <c r="D14" i="3" s="1"/>
  <c r="D13" i="3"/>
  <c r="C13" i="3"/>
  <c r="C90" i="3" s="1"/>
  <c r="C12" i="3"/>
  <c r="C11" i="3"/>
  <c r="C10" i="3"/>
  <c r="C9" i="3"/>
  <c r="D16" i="3" l="1"/>
  <c r="D48" i="3"/>
  <c r="D27" i="3"/>
  <c r="C104" i="3"/>
  <c r="C126" i="3"/>
  <c r="C94" i="3"/>
  <c r="C95" i="3"/>
  <c r="C117" i="3"/>
  <c r="D50" i="3"/>
  <c r="C96" i="3"/>
  <c r="D19" i="3"/>
  <c r="D51" i="3"/>
  <c r="C86" i="3"/>
  <c r="C119" i="3"/>
  <c r="C103" i="3"/>
  <c r="D10" i="3"/>
  <c r="D32" i="3"/>
  <c r="D42" i="3"/>
  <c r="C125" i="3"/>
  <c r="C120" i="3"/>
  <c r="D43" i="3"/>
  <c r="C101" i="3"/>
  <c r="D24" i="3"/>
  <c r="D56" i="3"/>
  <c r="D26" i="3"/>
  <c r="D49" i="3"/>
  <c r="D18" i="3"/>
  <c r="D40" i="3"/>
  <c r="D11" i="3"/>
  <c r="C110" i="3"/>
  <c r="D33" i="3"/>
  <c r="C111" i="3"/>
  <c r="C87" i="3"/>
  <c r="C128" i="3"/>
  <c r="C102" i="3"/>
  <c r="C107" i="3"/>
  <c r="D12" i="3"/>
  <c r="D28" i="3"/>
  <c r="D52" i="3"/>
  <c r="C89" i="3"/>
  <c r="C123" i="3"/>
  <c r="C129" i="3"/>
  <c r="C99" i="3"/>
  <c r="D31" i="3"/>
  <c r="D47" i="3"/>
  <c r="B71" i="3" l="1" a="1"/>
  <c r="B71" i="3" s="1"/>
  <c r="B69" i="3" a="1"/>
  <c r="B69" i="3" s="1"/>
  <c r="B72" i="3" a="1"/>
  <c r="B72" i="3" s="1"/>
  <c r="B68" i="3" a="1"/>
  <c r="B70" i="3" a="1"/>
  <c r="B70" i="3" s="1"/>
  <c r="M73" i="3" l="1"/>
  <c r="M74" i="3" s="1"/>
  <c r="L73" i="3"/>
  <c r="L74" i="3" s="1"/>
  <c r="K73" i="3"/>
  <c r="K74" i="3" s="1"/>
  <c r="J73" i="3"/>
  <c r="J74" i="3" s="1"/>
  <c r="I73" i="3"/>
  <c r="I74" i="3" s="1"/>
  <c r="B68" i="3"/>
  <c r="B73" i="3" s="1"/>
  <c r="B74" i="3" s="1"/>
  <c r="H73" i="3"/>
  <c r="H74" i="3" s="1"/>
  <c r="G73" i="3"/>
  <c r="G74" i="3" s="1"/>
  <c r="F73" i="3"/>
  <c r="F74" i="3" s="1"/>
  <c r="E73" i="3"/>
  <c r="E74" i="3" s="1"/>
  <c r="D73" i="3"/>
  <c r="D74" i="3" s="1"/>
  <c r="C73" i="3"/>
  <c r="C74" i="3" s="1"/>
  <c r="E92" i="3" l="1" a="1"/>
  <c r="E80" i="3" a="1"/>
  <c r="E104" i="3" a="1"/>
  <c r="E116" i="3" a="1"/>
  <c r="E128" i="3" a="1"/>
  <c r="F91" i="3" l="1"/>
  <c r="F83" i="3"/>
  <c r="E80" i="3"/>
  <c r="F82" i="3"/>
  <c r="F85" i="3"/>
  <c r="F81" i="3"/>
  <c r="G90" i="3"/>
  <c r="F90" i="3"/>
  <c r="F84" i="3"/>
  <c r="G87" i="3"/>
  <c r="G84" i="3"/>
  <c r="F88" i="3"/>
  <c r="G83" i="3"/>
  <c r="G81" i="3"/>
  <c r="F87" i="3"/>
  <c r="G85" i="3"/>
  <c r="G86" i="3"/>
  <c r="F89" i="3"/>
  <c r="F86" i="3"/>
  <c r="G91" i="3"/>
  <c r="G88" i="3"/>
  <c r="G82" i="3"/>
  <c r="G89" i="3"/>
  <c r="F136" i="3"/>
  <c r="G129" i="3"/>
  <c r="G132" i="3"/>
  <c r="F132" i="3"/>
  <c r="F131" i="3"/>
  <c r="E128" i="3"/>
  <c r="F139" i="3"/>
  <c r="F135" i="3"/>
  <c r="F138" i="3"/>
  <c r="G130" i="3"/>
  <c r="G133" i="3"/>
  <c r="F133" i="3"/>
  <c r="F137" i="3"/>
  <c r="G136" i="3"/>
  <c r="F130" i="3"/>
  <c r="G134" i="3"/>
  <c r="F134" i="3"/>
  <c r="G139" i="3"/>
  <c r="G137" i="3"/>
  <c r="G138" i="3"/>
  <c r="F129" i="3"/>
  <c r="G131" i="3"/>
  <c r="G135" i="3"/>
  <c r="G123" i="3"/>
  <c r="G126" i="3"/>
  <c r="E116" i="3"/>
  <c r="F122" i="3"/>
  <c r="G121" i="3"/>
  <c r="G127" i="3"/>
  <c r="F121" i="3"/>
  <c r="G124" i="3"/>
  <c r="F124" i="3"/>
  <c r="F118" i="3"/>
  <c r="F126" i="3"/>
  <c r="G117" i="3"/>
  <c r="F120" i="3"/>
  <c r="F125" i="3"/>
  <c r="G122" i="3"/>
  <c r="F127" i="3"/>
  <c r="G118" i="3"/>
  <c r="G125" i="3"/>
  <c r="G120" i="3"/>
  <c r="F117" i="3"/>
  <c r="F123" i="3"/>
  <c r="F119" i="3"/>
  <c r="G119" i="3"/>
  <c r="F114" i="3"/>
  <c r="E104" i="3"/>
  <c r="F105" i="3"/>
  <c r="G115" i="3"/>
  <c r="F115" i="3"/>
  <c r="F109" i="3"/>
  <c r="G105" i="3"/>
  <c r="G108" i="3"/>
  <c r="F106" i="3"/>
  <c r="F112" i="3"/>
  <c r="F110" i="3"/>
  <c r="G111" i="3"/>
  <c r="F113" i="3"/>
  <c r="G109" i="3"/>
  <c r="F108" i="3"/>
  <c r="F111" i="3"/>
  <c r="G113" i="3"/>
  <c r="G110" i="3"/>
  <c r="G112" i="3"/>
  <c r="G114" i="3"/>
  <c r="F107" i="3"/>
  <c r="G106" i="3"/>
  <c r="G107" i="3"/>
  <c r="G98" i="3"/>
  <c r="F98" i="3"/>
  <c r="F97" i="3"/>
  <c r="E92" i="3"/>
  <c r="F99" i="3"/>
  <c r="F100" i="3"/>
  <c r="F93" i="3"/>
  <c r="G96" i="3"/>
  <c r="G102" i="3"/>
  <c r="G93" i="3"/>
  <c r="G99" i="3"/>
  <c r="G103" i="3"/>
  <c r="G95" i="3"/>
  <c r="G101" i="3"/>
  <c r="G94" i="3"/>
  <c r="G97" i="3"/>
  <c r="F102" i="3"/>
  <c r="F96" i="3"/>
  <c r="G100" i="3"/>
  <c r="F103" i="3"/>
  <c r="F95" i="3"/>
  <c r="F94" i="3"/>
  <c r="F101" i="3"/>
  <c r="F92" i="3" l="1"/>
  <c r="G92" i="3"/>
  <c r="F128" i="3"/>
  <c r="G128" i="3"/>
  <c r="G104" i="3"/>
  <c r="F104" i="3"/>
  <c r="F80" i="3"/>
  <c r="G80" i="3"/>
  <c r="F116" i="3"/>
  <c r="G1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Tyson Brost</author>
  </authors>
  <commentList>
    <comment ref="N71" authorId="0" shapeId="0" xr:uid="{7AB34930-2485-49E2-A678-E9A1E1596D84}">
      <text>
        <r>
          <rPr>
            <sz val="10"/>
            <color indexed="81"/>
            <rFont val="Arial"/>
            <family val="2"/>
          </rPr>
          <t>Overall mean of these unadjusted monthly additive components</t>
        </r>
      </text>
    </comment>
    <comment ref="A74" authorId="0" shapeId="0" xr:uid="{CF60AC78-5442-4236-AECE-C0C7ACA4D6BF}">
      <text>
        <r>
          <rPr>
            <sz val="10"/>
            <color indexed="81"/>
            <rFont val="Arial"/>
            <family val="2"/>
          </rPr>
          <t>Unadjusted monthly additive components</t>
        </r>
      </text>
    </comment>
    <comment ref="A75" authorId="0" shapeId="0" xr:uid="{A19E4124-49FE-4496-96B5-9863E9772391}">
      <text>
        <r>
          <rPr>
            <sz val="10"/>
            <color indexed="81"/>
            <rFont val="Arial"/>
            <family val="2"/>
          </rPr>
          <t>Seasonally adjusted mean for each month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<sst xmlns="http://schemas.openxmlformats.org/spreadsheetml/2006/main" count="164" uniqueCount="84">
  <si>
    <t>Month</t>
  </si>
  <si>
    <t xml:space="preserve">Deaths
</t>
  </si>
  <si>
    <t>Random</t>
  </si>
  <si>
    <t xml:space="preserve">Seasonally Adjusted
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</si>
  <si>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</si>
  <si>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</si>
  <si>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</si>
  <si>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</si>
  <si>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</si>
  <si>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</si>
  <si>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</si>
  <si>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</si>
  <si>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</si>
  <si>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</si>
  <si>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</si>
  <si>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</si>
  <si>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</si>
  <si>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</si>
  <si>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</si>
  <si>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</si>
  <si>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</si>
  <si>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</si>
  <si>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</si>
  <si>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</si>
  <si>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</si>
  <si>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</si>
  <si>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</si>
  <si>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</si>
  <si>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</si>
  <si>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</si>
  <si>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</si>
  <si>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</si>
  <si>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</si>
  <si>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</si>
  <si>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</si>
  <si>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</si>
  <si>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</si>
  <si>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</si>
  <si>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</si>
  <si>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</si>
  <si>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</si>
  <si>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</si>
  <si>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</si>
  <si>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</si>
  <si>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</si>
  <si>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</si>
  <si>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</si>
  <si>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</si>
  <si>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</si>
  <si>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</si>
  <si>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</si>
  <si>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</si>
  <si>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</si>
  <si>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</si>
  <si>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</si>
  <si>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</si>
  <si>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</si>
  <si>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</si>
  <si>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</si>
  <si>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</si>
  <si>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</si>
  <si>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</si>
  <si>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</si>
  <si>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</si>
  <si>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</si>
  <si>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</si>
  <si>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</si>
  <si>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</si>
  <si>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</si>
  <si>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</si>
  <si>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</si>
  <si>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</si>
  <si>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</si>
  <si>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</si>
  <si>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</si>
  <si>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</si>
  <si>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</si>
  <si>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Overall
Mean</t>
  </si>
  <si>
    <t xml:space="preserve"> </t>
  </si>
  <si>
    <t>NA</t>
  </si>
  <si>
    <t>Table 1: Computation of the 
Centered Moving Average,      , and the Estimated Monthly Additive Effect,</t>
  </si>
  <si>
    <t>Table 2: Computation of</t>
  </si>
  <si>
    <t>Mean,</t>
  </si>
  <si>
    <t>Table 3: Computation of        the Random Component and the Seasonally Adjusted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</si>
</sst>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81"/>
      <name val="Arial"/>
      <family val="2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6" xfId="0" applyBorder="1"/>
    <xf numFmtId="0" fontId="0" fillId="4" borderId="12" xfId="0" applyFill="1" applyBorder="1" applyAlignment="1">
      <alignment horizontal="center"/>
    </xf>
    <xf numFmtId="0" fontId="0" fillId="4" borderId="2" xfId="0" applyFill="1" applyBorder="1"/>
    <xf numFmtId="0" fontId="0" fillId="4" borderId="3" xfId="0" applyFill="1" applyBorder="1"/>
    <xf numFmtId="0" fontId="0" fillId="0" borderId="12" xfId="0" applyBorder="1"/>
    <xf numFmtId="0" fontId="0" fillId="4" borderId="13" xfId="0" applyFill="1" applyBorder="1" applyAlignment="1">
      <alignment horizontal="center"/>
    </xf>
    <xf numFmtId="0" fontId="0" fillId="0" borderId="13" xfId="0" applyBorder="1"/>
    <xf numFmtId="0" fontId="0" fillId="4" borderId="13" xfId="0" applyFill="1" applyBorder="1" applyAlignment="1">
      <alignment vertical="top"/>
    </xf>
    <xf numFmtId="164" fontId="0" fillId="2" borderId="13" xfId="0" applyNumberFormat="1" applyFill="1" applyBorder="1"/>
    <xf numFmtId="0" fontId="0" fillId="4" borderId="14" xfId="0" applyFill="1" applyBorder="1"/>
    <xf numFmtId="164" fontId="0" fillId="0" borderId="11" xfId="0" applyNumberFormat="1" applyBorder="1" applyAlignment="1">
      <alignment horizontal="center"/>
    </xf>
    <xf numFmtId="164" fontId="0" fillId="0" borderId="14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2" borderId="13" xfId="0" applyFill="1" applyBorder="1" applyAlignment="1">
      <alignment horizontal="left" vertical="top" wrapText="1"/>
    </xf>
    <xf numFmtId="0" fontId="0" fillId="2" borderId="13" xfId="0" applyFill="1" applyBorder="1" applyAlignment="1">
      <alignment horizontal="left" vertical="top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295434</xdr:colOff>
      <xdr:row>78</xdr:row>
      <xdr:rowOff>205613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C8CAD1-69B1-40D8-A713-188C4E07C8EC}"/>
                </a:ext>
              </a:extLst>
            </xdr:cNvPr>
            <xdr:cNvSpPr txBox="1"/>
          </xdr:nvSpPr>
          <xdr:spPr>
            <a:xfrm>
              <a:off x="1130459" y="156805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CC8CAD1-69B1-40D8-A713-188C4E07C8EC}"/>
                </a:ext>
              </a:extLst>
            </xdr:cNvPr>
            <xdr:cNvSpPr txBox="1"/>
          </xdr:nvSpPr>
          <xdr:spPr>
            <a:xfrm>
              <a:off x="1130459" y="156805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295434</xdr:colOff>
      <xdr:row>78</xdr:row>
      <xdr:rowOff>137033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9AD31EA-CC15-4A69-960C-6754060CB6BF}"/>
                </a:ext>
              </a:extLst>
            </xdr:cNvPr>
            <xdr:cNvSpPr txBox="1"/>
          </xdr:nvSpPr>
          <xdr:spPr>
            <a:xfrm>
              <a:off x="1968659" y="1561833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9AD31EA-CC15-4A69-960C-6754060CB6BF}"/>
                </a:ext>
              </a:extLst>
            </xdr:cNvPr>
            <xdr:cNvSpPr txBox="1"/>
          </xdr:nvSpPr>
          <xdr:spPr>
            <a:xfrm>
              <a:off x="1968659" y="1561833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341154</xdr:colOff>
      <xdr:row>78</xdr:row>
      <xdr:rowOff>137033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504EC31-51CA-460B-8166-D7F15238DE95}"/>
                </a:ext>
              </a:extLst>
            </xdr:cNvPr>
            <xdr:cNvSpPr txBox="1"/>
          </xdr:nvSpPr>
          <xdr:spPr>
            <a:xfrm>
              <a:off x="2865279" y="1561833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C504EC31-51CA-460B-8166-D7F15238DE95}"/>
                </a:ext>
              </a:extLst>
            </xdr:cNvPr>
            <xdr:cNvSpPr txBox="1"/>
          </xdr:nvSpPr>
          <xdr:spPr>
            <a:xfrm>
              <a:off x="2865279" y="1561833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4</xdr:col>
      <xdr:colOff>320040</xdr:colOff>
      <xdr:row>78</xdr:row>
      <xdr:rowOff>110490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EFC7B1D-C8AE-4D78-A865-782604968F0C}"/>
                </a:ext>
              </a:extLst>
            </xdr:cNvPr>
            <xdr:cNvSpPr txBox="1"/>
          </xdr:nvSpPr>
          <xdr:spPr>
            <a:xfrm>
              <a:off x="3622040" y="1558544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EFC7B1D-C8AE-4D78-A865-782604968F0C}"/>
                </a:ext>
              </a:extLst>
            </xdr:cNvPr>
            <xdr:cNvSpPr txBox="1"/>
          </xdr:nvSpPr>
          <xdr:spPr>
            <a:xfrm>
              <a:off x="3622040" y="15585440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569754</xdr:colOff>
      <xdr:row>78</xdr:row>
      <xdr:rowOff>205613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2157E4-DCFB-4DDE-B6A9-DBE37E97D611}"/>
                </a:ext>
              </a:extLst>
            </xdr:cNvPr>
            <xdr:cNvSpPr txBox="1"/>
          </xdr:nvSpPr>
          <xdr:spPr>
            <a:xfrm>
              <a:off x="5437029" y="156805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32157E4-DCFB-4DDE-B6A9-DBE37E97D611}"/>
                </a:ext>
              </a:extLst>
            </xdr:cNvPr>
            <xdr:cNvSpPr txBox="1"/>
          </xdr:nvSpPr>
          <xdr:spPr>
            <a:xfrm>
              <a:off x="5437029" y="156805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114</xdr:row>
      <xdr:rowOff>3810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4469D1B-4F9D-48F9-A217-21819DDE6DCA}"/>
            </a:ext>
          </a:extLst>
        </xdr:cNvPr>
        <xdr:cNvSpPr txBox="1"/>
      </xdr:nvSpPr>
      <xdr:spPr>
        <a:xfrm>
          <a:off x="228600" y="2229548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</xdr:col>
      <xdr:colOff>318294</xdr:colOff>
      <xdr:row>1</xdr:row>
      <xdr:rowOff>129413</xdr:rowOff>
    </xdr:from>
    <xdr:ext cx="196079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A3CE73D-B773-4E5F-9EB9-255DA17F8DF9}"/>
                </a:ext>
              </a:extLst>
            </xdr:cNvPr>
            <xdr:cNvSpPr txBox="1"/>
          </xdr:nvSpPr>
          <xdr:spPr>
            <a:xfrm>
              <a:off x="1153319" y="7072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A3CE73D-B773-4E5F-9EB9-255DA17F8DF9}"/>
                </a:ext>
              </a:extLst>
            </xdr:cNvPr>
            <xdr:cNvSpPr txBox="1"/>
          </xdr:nvSpPr>
          <xdr:spPr>
            <a:xfrm>
              <a:off x="1153319" y="707263"/>
              <a:ext cx="1960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𝑥_𝑡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310674</xdr:colOff>
      <xdr:row>1</xdr:row>
      <xdr:rowOff>83693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64B5094-3F97-4063-9215-535779C2E08B}"/>
                </a:ext>
              </a:extLst>
            </xdr:cNvPr>
            <xdr:cNvSpPr txBox="1"/>
          </xdr:nvSpPr>
          <xdr:spPr>
            <a:xfrm>
              <a:off x="1990249" y="6678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264B5094-3F97-4063-9215-535779C2E08B}"/>
                </a:ext>
              </a:extLst>
            </xdr:cNvPr>
            <xdr:cNvSpPr txBox="1"/>
          </xdr:nvSpPr>
          <xdr:spPr>
            <a:xfrm>
              <a:off x="1990249" y="667893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3</xdr:col>
      <xdr:colOff>287814</xdr:colOff>
      <xdr:row>1</xdr:row>
      <xdr:rowOff>83693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2D2F4E2-A2FE-4804-9411-C3150B626684}"/>
                </a:ext>
              </a:extLst>
            </xdr:cNvPr>
            <xdr:cNvSpPr txBox="1"/>
          </xdr:nvSpPr>
          <xdr:spPr>
            <a:xfrm>
              <a:off x="2811939" y="6678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62D2F4E2-A2FE-4804-9411-C3150B626684}"/>
                </a:ext>
              </a:extLst>
            </xdr:cNvPr>
            <xdr:cNvSpPr txBox="1"/>
          </xdr:nvSpPr>
          <xdr:spPr>
            <a:xfrm>
              <a:off x="2811939" y="667893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228600</xdr:colOff>
      <xdr:row>74</xdr:row>
      <xdr:rowOff>3810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DE906BF-6FB8-4A61-8A34-58A34E5C55C8}"/>
            </a:ext>
          </a:extLst>
        </xdr:cNvPr>
        <xdr:cNvSpPr txBox="1"/>
      </xdr:nvSpPr>
      <xdr:spPr>
        <a:xfrm>
          <a:off x="228600" y="1438973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387985</xdr:colOff>
      <xdr:row>71</xdr:row>
      <xdr:rowOff>153670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958AE0A-781D-4922-88BE-6EDE1C063529}"/>
                </a:ext>
              </a:extLst>
            </xdr:cNvPr>
            <xdr:cNvSpPr txBox="1"/>
          </xdr:nvSpPr>
          <xdr:spPr>
            <a:xfrm>
              <a:off x="391160" y="1385062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958AE0A-781D-4922-88BE-6EDE1C063529}"/>
                </a:ext>
              </a:extLst>
            </xdr:cNvPr>
            <xdr:cNvSpPr txBox="1"/>
          </xdr:nvSpPr>
          <xdr:spPr>
            <a:xfrm>
              <a:off x="391160" y="13850620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381000</xdr:colOff>
      <xdr:row>73</xdr:row>
      <xdr:rowOff>3810</xdr:rowOff>
    </xdr:from>
    <xdr:ext cx="180819" cy="231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B7423EF-25AF-44F2-8D84-4CB37620AA58}"/>
                </a:ext>
              </a:extLst>
            </xdr:cNvPr>
            <xdr:cNvSpPr txBox="1"/>
          </xdr:nvSpPr>
          <xdr:spPr>
            <a:xfrm>
              <a:off x="381000" y="1415161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̅"/>
                        <m:ctrlPr>
                          <a:rPr lang="en-US" sz="14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̂"/>
                                <m:ctrlP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𝑠</m:t>
                                </m:r>
                              </m:e>
                            </m:acc>
                          </m:e>
                          <m:sub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B7423EF-25AF-44F2-8D84-4CB37620AA58}"/>
                </a:ext>
              </a:extLst>
            </xdr:cNvPr>
            <xdr:cNvSpPr txBox="1"/>
          </xdr:nvSpPr>
          <xdr:spPr>
            <a:xfrm>
              <a:off x="381000" y="14151610"/>
              <a:ext cx="180819" cy="231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̅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13</xdr:col>
      <xdr:colOff>152399</xdr:colOff>
      <xdr:row>72</xdr:row>
      <xdr:rowOff>38100</xdr:rowOff>
    </xdr:from>
    <xdr:ext cx="379575" cy="25090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E0BD830-56EE-40D2-AF44-7F222E7FCEE3}"/>
                </a:ext>
              </a:extLst>
            </xdr:cNvPr>
            <xdr:cNvSpPr txBox="1"/>
          </xdr:nvSpPr>
          <xdr:spPr>
            <a:xfrm>
              <a:off x="10001249" y="13916025"/>
              <a:ext cx="379575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̿"/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accPr>
                    <m:e>
                      <m:sSub>
                        <m:sSubPr>
                          <m:ctrlPr>
                            <a:rPr lang="en-US" sz="14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acc>
                            <m:accPr>
                              <m:chr m:val="̂"/>
                              <m:ctrlPr>
                                <a:rPr lang="en-US" sz="1400" b="0" i="1">
                                  <a:latin typeface="Cambria Math" panose="02040503050406030204" pitchFamily="18" charset="0"/>
                                </a:rPr>
                              </m:ctrlPr>
                            </m:accPr>
                            <m:e>
                              <m:r>
                                <a:rPr lang="en-US" sz="1400" b="0" i="1">
                                  <a:latin typeface="Cambria Math" panose="02040503050406030204" pitchFamily="18" charset="0"/>
                                </a:rPr>
                                <m:t>𝑠</m:t>
                              </m:r>
                            </m:e>
                          </m:acc>
                        </m:e>
                        <m:sub>
                          <m:r>
                            <a:rPr lang="en-US" sz="1400" b="0" i="1">
                              <a:latin typeface="Cambria Math" panose="02040503050406030204" pitchFamily="18" charset="0"/>
                            </a:rPr>
                            <m:t>𝑡</m:t>
                          </m:r>
                        </m:sub>
                      </m:sSub>
                    </m:e>
                  </m:acc>
                </m:oMath>
              </a14:m>
              <a:r>
                <a:rPr lang="en-US" sz="1400"/>
                <a:t>=</a:t>
              </a:r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3E0BD830-56EE-40D2-AF44-7F222E7FCEE3}"/>
                </a:ext>
              </a:extLst>
            </xdr:cNvPr>
            <xdr:cNvSpPr txBox="1"/>
          </xdr:nvSpPr>
          <xdr:spPr>
            <a:xfrm>
              <a:off x="10001249" y="13916025"/>
              <a:ext cx="379575" cy="25090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n-US" sz="1400" b="0" i="0">
                  <a:latin typeface="Cambria Math" panose="02040503050406030204" pitchFamily="18" charset="0"/>
                </a:rPr>
                <a:t>𝑠 ̂_𝑡 ) ̿</a:t>
              </a:r>
              <a:r>
                <a:rPr lang="en-US" sz="1400"/>
                <a:t>=</a:t>
              </a:r>
            </a:p>
          </xdr:txBody>
        </xdr:sp>
      </mc:Fallback>
    </mc:AlternateContent>
    <xdr:clientData/>
  </xdr:oneCellAnchor>
  <xdr:oneCellAnchor>
    <xdr:from>
      <xdr:col>2</xdr:col>
      <xdr:colOff>202565</xdr:colOff>
      <xdr:row>77</xdr:row>
      <xdr:rowOff>77470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6F6110-F50F-4612-9089-D374F44DE0FF}"/>
                </a:ext>
              </a:extLst>
            </xdr:cNvPr>
            <xdr:cNvSpPr txBox="1"/>
          </xdr:nvSpPr>
          <xdr:spPr>
            <a:xfrm>
              <a:off x="1875790" y="1500314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𝑧</m:t>
                        </m:r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EA6F6110-F50F-4612-9089-D374F44DE0FF}"/>
                </a:ext>
              </a:extLst>
            </xdr:cNvPr>
            <xdr:cNvSpPr txBox="1"/>
          </xdr:nvSpPr>
          <xdr:spPr>
            <a:xfrm>
              <a:off x="1875790" y="1500314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𝑧_𝑡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0</xdr:col>
      <xdr:colOff>243840</xdr:colOff>
      <xdr:row>102</xdr:row>
      <xdr:rowOff>179070</xdr:rowOff>
    </xdr:from>
    <xdr:ext cx="7014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F5DE10-A82B-4B09-AF60-27AF6DB36F4B}"/>
                </a:ext>
              </a:extLst>
            </xdr:cNvPr>
            <xdr:cNvSpPr txBox="1"/>
          </xdr:nvSpPr>
          <xdr:spPr>
            <a:xfrm>
              <a:off x="240665" y="2029904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⋮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8F5DE10-A82B-4B09-AF60-27AF6DB36F4B}"/>
                </a:ext>
              </a:extLst>
            </xdr:cNvPr>
            <xdr:cNvSpPr txBox="1"/>
          </xdr:nvSpPr>
          <xdr:spPr>
            <a:xfrm>
              <a:off x="240665" y="20299045"/>
              <a:ext cx="7014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⋮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104934</xdr:colOff>
      <xdr:row>0</xdr:row>
      <xdr:rowOff>197993</xdr:rowOff>
    </xdr:from>
    <xdr:ext cx="187167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72C8FE-DB1B-4E1A-A047-91B9C677ADF4}"/>
                </a:ext>
              </a:extLst>
            </xdr:cNvPr>
            <xdr:cNvSpPr txBox="1"/>
          </xdr:nvSpPr>
          <xdr:spPr>
            <a:xfrm>
              <a:off x="1778159" y="201168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7E72C8FE-DB1B-4E1A-A047-91B9C677ADF4}"/>
                </a:ext>
              </a:extLst>
            </xdr:cNvPr>
            <xdr:cNvSpPr txBox="1"/>
          </xdr:nvSpPr>
          <xdr:spPr>
            <a:xfrm>
              <a:off x="1778159" y="201168"/>
              <a:ext cx="187167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𝑚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2</xdr:col>
      <xdr:colOff>714534</xdr:colOff>
      <xdr:row>0</xdr:row>
      <xdr:rowOff>388493</xdr:rowOff>
    </xdr:from>
    <xdr:ext cx="120161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B8BE1E2-3411-45BB-BC1E-728BD7C231AD}"/>
                </a:ext>
              </a:extLst>
            </xdr:cNvPr>
            <xdr:cNvSpPr txBox="1"/>
          </xdr:nvSpPr>
          <xdr:spPr>
            <a:xfrm>
              <a:off x="2387759" y="391668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acc>
                      <m:accPr>
                        <m:chr m:val="̂"/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𝑠</m:t>
                        </m:r>
                      </m:e>
                    </m:acc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CB8BE1E2-3411-45BB-BC1E-728BD7C231AD}"/>
                </a:ext>
              </a:extLst>
            </xdr:cNvPr>
            <xdr:cNvSpPr txBox="1"/>
          </xdr:nvSpPr>
          <xdr:spPr>
            <a:xfrm>
              <a:off x="2387759" y="391668"/>
              <a:ext cx="120161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̂</a:t>
              </a:r>
              <a:endParaRPr lang="en-US" sz="1400"/>
            </a:p>
          </xdr:txBody>
        </xdr:sp>
      </mc:Fallback>
    </mc:AlternateContent>
    <xdr:clientData/>
  </xdr:oneCellAnchor>
  <xdr:oneCellAnchor>
    <xdr:from>
      <xdr:col>6</xdr:col>
      <xdr:colOff>914400</xdr:colOff>
      <xdr:row>65</xdr:row>
      <xdr:rowOff>114300</xdr:rowOff>
    </xdr:from>
    <xdr:ext cx="320040" cy="22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C3DD181-E42E-4A0D-AEAE-9C6E42A5C33F}"/>
                </a:ext>
              </a:extLst>
            </xdr:cNvPr>
            <xdr:cNvSpPr txBox="1"/>
          </xdr:nvSpPr>
          <xdr:spPr>
            <a:xfrm>
              <a:off x="5781675" y="1246822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14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1400" b="0" i="1">
                                <a:latin typeface="Cambria Math" panose="02040503050406030204" pitchFamily="18" charset="0"/>
                              </a:rPr>
                              <m:t>𝑠</m:t>
                            </m:r>
                          </m:e>
                        </m:acc>
                      </m:e>
                      <m:sub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</m:oMath>
                </m:oMathPara>
              </a14:m>
              <a:endParaRPr lang="en-US" sz="14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CC3DD181-E42E-4A0D-AEAE-9C6E42A5C33F}"/>
                </a:ext>
              </a:extLst>
            </xdr:cNvPr>
            <xdr:cNvSpPr txBox="1"/>
          </xdr:nvSpPr>
          <xdr:spPr>
            <a:xfrm>
              <a:off x="5781675" y="12468225"/>
              <a:ext cx="320040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𝑠 ̅_𝑡</a:t>
              </a:r>
              <a:endParaRPr lang="en-U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5CA8D-140F-4656-AD4A-A92BAB597FB2}">
  <dimension ref="A1:N139"/>
  <sheetViews>
    <sheetView tabSelected="1" workbookViewId="0">
      <selection sqref="A1:D1"/>
    </sheetView>
  </sheetViews>
  <sheetFormatPr defaultRowHeight="14.5" x14ac:dyDescent="0.35"/>
  <cols>
    <col min="1" max="2" width="12" customWidth="1"/>
    <col min="3" max="3" width="12.1796875" bestFit="1" customWidth="1"/>
    <col min="4" max="6" width="11.1796875" bestFit="1" customWidth="1"/>
    <col min="7" max="7" width="18.90625" customWidth="1"/>
    <col min="14" max="14" width="9.6328125" customWidth="1"/>
  </cols>
  <sheetData>
    <row r="1" spans="1:4" ht="45.65" customHeight="1" x14ac:dyDescent="0.35">
      <c r="A1" s="30" t="s">
        <v>80</v>
      </c>
      <c r="B1" s="31"/>
      <c r="C1" s="31"/>
      <c r="D1" s="32"/>
    </row>
    <row r="2" spans="1:4" ht="29" x14ac:dyDescent="0.35">
      <c r="A2" s="2" t="s">
        <v>0</v>
      </c>
      <c r="B2" s="3" t="s">
        <v>1</v>
      </c>
      <c r="C2" s="4"/>
      <c r="D2" s="5"/>
    </row>
    <row r="3" spans="1:4" x14ac:dyDescent="0.35">
      <c r="A3" s="6" t="s">
        <v>4</v>
      </c>
      <c r="B3" s="7">
        <v>3034</v>
      </c>
      <c r="C3" s="7" t="s">
        <v>79</v>
      </c>
      <c r="D3" s="8" t="s">
        <v>79</v>
      </c>
    </row>
    <row r="4" spans="1:4" x14ac:dyDescent="0.35">
      <c r="A4" s="6" t="s">
        <v>5</v>
      </c>
      <c r="B4" s="7">
        <v>2748</v>
      </c>
      <c r="C4" s="7" t="s">
        <v>79</v>
      </c>
      <c r="D4" s="8" t="s">
        <v>79</v>
      </c>
    </row>
    <row r="5" spans="1:4" x14ac:dyDescent="0.35">
      <c r="A5" s="6" t="s">
        <v>6</v>
      </c>
      <c r="B5" s="7">
        <v>3164</v>
      </c>
      <c r="C5" s="7" t="s">
        <v>79</v>
      </c>
      <c r="D5" s="8" t="s">
        <v>79</v>
      </c>
    </row>
    <row r="6" spans="1:4" x14ac:dyDescent="0.35">
      <c r="A6" s="6" t="s">
        <v>7</v>
      </c>
      <c r="B6" s="7">
        <v>3238</v>
      </c>
      <c r="C6" s="7" t="s">
        <v>79</v>
      </c>
      <c r="D6" s="8" t="s">
        <v>79</v>
      </c>
    </row>
    <row r="7" spans="1:4" x14ac:dyDescent="0.35">
      <c r="A7" s="6" t="s">
        <v>8</v>
      </c>
      <c r="B7" s="7">
        <v>3416</v>
      </c>
      <c r="C7" s="7" t="s">
        <v>79</v>
      </c>
      <c r="D7" s="8" t="s">
        <v>79</v>
      </c>
    </row>
    <row r="8" spans="1:4" x14ac:dyDescent="0.35">
      <c r="A8" s="6" t="s">
        <v>9</v>
      </c>
      <c r="B8" s="7">
        <v>3492</v>
      </c>
      <c r="C8" s="7" t="s">
        <v>79</v>
      </c>
      <c r="D8" s="8" t="s">
        <v>79</v>
      </c>
    </row>
    <row r="9" spans="1:4" x14ac:dyDescent="0.35">
      <c r="A9" s="6" t="s">
        <v>10</v>
      </c>
      <c r="B9" s="7">
        <v>3730</v>
      </c>
      <c r="C9" s="9">
        <f>(0.5*B3+SUM(B4:B14)+0.5*B15)/12</f>
        <v>3351.5833333333335</v>
      </c>
      <c r="D9" s="10">
        <v>378.41666666666652</v>
      </c>
    </row>
    <row r="10" spans="1:4" x14ac:dyDescent="0.35">
      <c r="A10" s="6" t="s">
        <v>11</v>
      </c>
      <c r="B10" s="7">
        <v>3409</v>
      </c>
      <c r="C10" s="9">
        <f t="shared" ref="C10:C56" si="0">(0.5*B4+SUM(B5:B15)+0.5*B16)/12</f>
        <v>3350</v>
      </c>
      <c r="D10" s="11">
        <f>IFERROR(B10-C10, "NA")</f>
        <v>59</v>
      </c>
    </row>
    <row r="11" spans="1:4" x14ac:dyDescent="0.35">
      <c r="A11" s="6" t="s">
        <v>12</v>
      </c>
      <c r="B11" s="7">
        <v>3572</v>
      </c>
      <c r="C11" s="9">
        <f t="shared" si="0"/>
        <v>3343.2083333333335</v>
      </c>
      <c r="D11" s="11">
        <f t="shared" ref="D11:D62" si="1">IFERROR(B11-C11, "NA")</f>
        <v>228.79166666666652</v>
      </c>
    </row>
    <row r="12" spans="1:4" x14ac:dyDescent="0.35">
      <c r="A12" s="6" t="s">
        <v>13</v>
      </c>
      <c r="B12" s="7">
        <v>3629</v>
      </c>
      <c r="C12" s="9">
        <f t="shared" si="0"/>
        <v>3326.2083333333335</v>
      </c>
      <c r="D12" s="11">
        <f t="shared" si="1"/>
        <v>302.79166666666652</v>
      </c>
    </row>
    <row r="13" spans="1:4" x14ac:dyDescent="0.35">
      <c r="A13" s="6" t="s">
        <v>14</v>
      </c>
      <c r="B13" s="7">
        <v>3408</v>
      </c>
      <c r="C13" s="9">
        <f t="shared" si="0"/>
        <v>3316.5416666666665</v>
      </c>
      <c r="D13" s="11">
        <f t="shared" si="1"/>
        <v>91.458333333333485</v>
      </c>
    </row>
    <row r="14" spans="1:4" x14ac:dyDescent="0.35">
      <c r="A14" s="6" t="s">
        <v>15</v>
      </c>
      <c r="B14" s="7">
        <v>3391</v>
      </c>
      <c r="C14" s="9">
        <f t="shared" si="0"/>
        <v>3318.5833333333335</v>
      </c>
      <c r="D14" s="11">
        <f t="shared" si="1"/>
        <v>72.416666666666515</v>
      </c>
    </row>
    <row r="15" spans="1:4" x14ac:dyDescent="0.35">
      <c r="A15" s="6" t="s">
        <v>16</v>
      </c>
      <c r="B15" s="7">
        <v>3010</v>
      </c>
      <c r="C15" s="9">
        <f t="shared" si="0"/>
        <v>3312.0833333333335</v>
      </c>
      <c r="D15" s="11">
        <f t="shared" si="1"/>
        <v>-302.08333333333348</v>
      </c>
    </row>
    <row r="16" spans="1:4" x14ac:dyDescent="0.35">
      <c r="A16" s="6" t="s">
        <v>17</v>
      </c>
      <c r="B16" s="7">
        <v>2734</v>
      </c>
      <c r="C16" s="9">
        <f t="shared" si="0"/>
        <v>3308.0416666666665</v>
      </c>
      <c r="D16" s="11">
        <f t="shared" si="1"/>
        <v>-574.04166666666652</v>
      </c>
    </row>
    <row r="17" spans="1:4" x14ac:dyDescent="0.35">
      <c r="A17" s="6" t="s">
        <v>18</v>
      </c>
      <c r="B17" s="7">
        <v>3015</v>
      </c>
      <c r="C17" s="9">
        <f t="shared" si="0"/>
        <v>3311.7083333333335</v>
      </c>
      <c r="D17" s="11">
        <f t="shared" si="1"/>
        <v>-296.70833333333348</v>
      </c>
    </row>
    <row r="18" spans="1:4" x14ac:dyDescent="0.35">
      <c r="A18" s="6" t="s">
        <v>19</v>
      </c>
      <c r="B18" s="7">
        <v>2979</v>
      </c>
      <c r="C18" s="9">
        <f t="shared" si="0"/>
        <v>3313.1666666666665</v>
      </c>
      <c r="D18" s="11">
        <f t="shared" si="1"/>
        <v>-334.16666666666652</v>
      </c>
    </row>
    <row r="19" spans="1:4" x14ac:dyDescent="0.35">
      <c r="A19" s="6" t="s">
        <v>20</v>
      </c>
      <c r="B19" s="7">
        <v>3443</v>
      </c>
      <c r="C19" s="9">
        <f t="shared" si="0"/>
        <v>3307.75</v>
      </c>
      <c r="D19" s="11">
        <f t="shared" si="1"/>
        <v>135.25</v>
      </c>
    </row>
    <row r="20" spans="1:4" x14ac:dyDescent="0.35">
      <c r="A20" s="6" t="s">
        <v>21</v>
      </c>
      <c r="B20" s="7">
        <v>3514</v>
      </c>
      <c r="C20" s="9">
        <f t="shared" si="0"/>
        <v>3292.4166666666665</v>
      </c>
      <c r="D20" s="11">
        <f t="shared" si="1"/>
        <v>221.58333333333348</v>
      </c>
    </row>
    <row r="21" spans="1:4" x14ac:dyDescent="0.35">
      <c r="A21" s="6" t="s">
        <v>22</v>
      </c>
      <c r="B21" s="7">
        <v>3552</v>
      </c>
      <c r="C21" s="9">
        <f t="shared" si="0"/>
        <v>3281.0833333333335</v>
      </c>
      <c r="D21" s="11">
        <f t="shared" si="1"/>
        <v>270.91666666666652</v>
      </c>
    </row>
    <row r="22" spans="1:4" x14ac:dyDescent="0.35">
      <c r="A22" s="6" t="s">
        <v>23</v>
      </c>
      <c r="B22" s="7">
        <v>3490</v>
      </c>
      <c r="C22" s="9">
        <f t="shared" si="0"/>
        <v>3270.2083333333335</v>
      </c>
      <c r="D22" s="11">
        <f t="shared" si="1"/>
        <v>219.79166666666652</v>
      </c>
    </row>
    <row r="23" spans="1:4" x14ac:dyDescent="0.35">
      <c r="A23" s="6" t="s">
        <v>24</v>
      </c>
      <c r="B23" s="7">
        <v>3579</v>
      </c>
      <c r="C23" s="9">
        <f t="shared" si="0"/>
        <v>3259.4583333333335</v>
      </c>
      <c r="D23" s="11">
        <f t="shared" si="1"/>
        <v>319.54166666666652</v>
      </c>
    </row>
    <row r="24" spans="1:4" x14ac:dyDescent="0.35">
      <c r="A24" s="6" t="s">
        <v>25</v>
      </c>
      <c r="B24" s="7">
        <v>3657</v>
      </c>
      <c r="C24" s="9">
        <f t="shared" si="0"/>
        <v>3261.1666666666665</v>
      </c>
      <c r="D24" s="11">
        <f t="shared" si="1"/>
        <v>395.83333333333348</v>
      </c>
    </row>
    <row r="25" spans="1:4" x14ac:dyDescent="0.35">
      <c r="A25" s="6" t="s">
        <v>26</v>
      </c>
      <c r="B25" s="7">
        <v>3250</v>
      </c>
      <c r="C25" s="9">
        <f t="shared" si="0"/>
        <v>3264.25</v>
      </c>
      <c r="D25" s="11">
        <f t="shared" si="1"/>
        <v>-14.25</v>
      </c>
    </row>
    <row r="26" spans="1:4" x14ac:dyDescent="0.35">
      <c r="A26" s="6" t="s">
        <v>27</v>
      </c>
      <c r="B26" s="7">
        <v>3181</v>
      </c>
      <c r="C26" s="9">
        <f t="shared" si="0"/>
        <v>3260.4583333333335</v>
      </c>
      <c r="D26" s="11">
        <f t="shared" si="1"/>
        <v>-79.458333333333485</v>
      </c>
    </row>
    <row r="27" spans="1:4" x14ac:dyDescent="0.35">
      <c r="A27" s="6" t="s">
        <v>28</v>
      </c>
      <c r="B27" s="7">
        <v>2948</v>
      </c>
      <c r="C27" s="9">
        <f t="shared" si="0"/>
        <v>3256.7083333333335</v>
      </c>
      <c r="D27" s="11">
        <f t="shared" si="1"/>
        <v>-308.70833333333348</v>
      </c>
    </row>
    <row r="28" spans="1:4" x14ac:dyDescent="0.35">
      <c r="A28" s="6" t="s">
        <v>29</v>
      </c>
      <c r="B28" s="7">
        <v>2535</v>
      </c>
      <c r="C28" s="9">
        <f t="shared" si="0"/>
        <v>3262.125</v>
      </c>
      <c r="D28" s="11">
        <f t="shared" si="1"/>
        <v>-727.125</v>
      </c>
    </row>
    <row r="29" spans="1:4" x14ac:dyDescent="0.35">
      <c r="A29" s="6" t="s">
        <v>30</v>
      </c>
      <c r="B29" s="7">
        <v>2956</v>
      </c>
      <c r="C29" s="9">
        <f t="shared" si="0"/>
        <v>3267.0833333333335</v>
      </c>
      <c r="D29" s="11">
        <f t="shared" si="1"/>
        <v>-311.08333333333348</v>
      </c>
    </row>
    <row r="30" spans="1:4" x14ac:dyDescent="0.35">
      <c r="A30" s="6" t="s">
        <v>31</v>
      </c>
      <c r="B30" s="7">
        <v>3079</v>
      </c>
      <c r="C30" s="9">
        <f t="shared" si="0"/>
        <v>3259.2916666666665</v>
      </c>
      <c r="D30" s="11">
        <f t="shared" si="1"/>
        <v>-180.29166666666652</v>
      </c>
    </row>
    <row r="31" spans="1:4" x14ac:dyDescent="0.35">
      <c r="A31" s="6" t="s">
        <v>32</v>
      </c>
      <c r="B31" s="7">
        <v>3417</v>
      </c>
      <c r="C31" s="9">
        <f t="shared" si="0"/>
        <v>3254</v>
      </c>
      <c r="D31" s="11">
        <f t="shared" si="1"/>
        <v>163</v>
      </c>
    </row>
    <row r="32" spans="1:4" x14ac:dyDescent="0.35">
      <c r="A32" s="6" t="s">
        <v>33</v>
      </c>
      <c r="B32" s="7">
        <v>3449</v>
      </c>
      <c r="C32" s="9">
        <f t="shared" si="0"/>
        <v>3256.9583333333335</v>
      </c>
      <c r="D32" s="11">
        <f t="shared" si="1"/>
        <v>192.04166666666652</v>
      </c>
    </row>
    <row r="33" spans="1:4" x14ac:dyDescent="0.35">
      <c r="A33" s="6" t="s">
        <v>34</v>
      </c>
      <c r="B33" s="7">
        <v>3527</v>
      </c>
      <c r="C33" s="9">
        <f t="shared" si="0"/>
        <v>3256.7083333333335</v>
      </c>
      <c r="D33" s="11">
        <f t="shared" si="1"/>
        <v>270.29166666666652</v>
      </c>
    </row>
    <row r="34" spans="1:4" x14ac:dyDescent="0.35">
      <c r="A34" s="6" t="s">
        <v>35</v>
      </c>
      <c r="B34" s="7">
        <v>3645</v>
      </c>
      <c r="C34" s="9">
        <f t="shared" si="0"/>
        <v>3269</v>
      </c>
      <c r="D34" s="11">
        <f t="shared" si="1"/>
        <v>376</v>
      </c>
    </row>
    <row r="35" spans="1:4" x14ac:dyDescent="0.35">
      <c r="A35" s="6" t="s">
        <v>36</v>
      </c>
      <c r="B35" s="7">
        <v>3543</v>
      </c>
      <c r="C35" s="9">
        <f t="shared" si="0"/>
        <v>3279.0833333333335</v>
      </c>
      <c r="D35" s="11">
        <f t="shared" si="1"/>
        <v>263.91666666666652</v>
      </c>
    </row>
    <row r="36" spans="1:4" x14ac:dyDescent="0.35">
      <c r="A36" s="6" t="s">
        <v>37</v>
      </c>
      <c r="B36" s="7">
        <v>3506</v>
      </c>
      <c r="C36" s="9">
        <f t="shared" si="0"/>
        <v>3252.8333333333335</v>
      </c>
      <c r="D36" s="11">
        <f t="shared" si="1"/>
        <v>253.16666666666652</v>
      </c>
    </row>
    <row r="37" spans="1:4" x14ac:dyDescent="0.35">
      <c r="A37" s="6" t="s">
        <v>38</v>
      </c>
      <c r="B37" s="7">
        <v>3274</v>
      </c>
      <c r="C37" s="9">
        <f t="shared" si="0"/>
        <v>3228.0416666666665</v>
      </c>
      <c r="D37" s="11">
        <f t="shared" si="1"/>
        <v>45.958333333333485</v>
      </c>
    </row>
    <row r="38" spans="1:4" x14ac:dyDescent="0.35">
      <c r="A38" s="6" t="s">
        <v>39</v>
      </c>
      <c r="B38" s="7">
        <v>3228</v>
      </c>
      <c r="C38" s="9">
        <f t="shared" si="0"/>
        <v>3248.2083333333335</v>
      </c>
      <c r="D38" s="11">
        <f t="shared" si="1"/>
        <v>-20.208333333333485</v>
      </c>
    </row>
    <row r="39" spans="1:4" x14ac:dyDescent="0.35">
      <c r="A39" s="6" t="s">
        <v>40</v>
      </c>
      <c r="B39" s="7">
        <v>2895</v>
      </c>
      <c r="C39" s="9">
        <f t="shared" si="0"/>
        <v>3294.2916666666665</v>
      </c>
      <c r="D39" s="11">
        <f t="shared" si="1"/>
        <v>-399.29166666666652</v>
      </c>
    </row>
    <row r="40" spans="1:4" x14ac:dyDescent="0.35">
      <c r="A40" s="6" t="s">
        <v>41</v>
      </c>
      <c r="B40" s="7">
        <v>2883</v>
      </c>
      <c r="C40" s="9">
        <f t="shared" si="0"/>
        <v>3340.3333333333335</v>
      </c>
      <c r="D40" s="11">
        <f t="shared" si="1"/>
        <v>-457.33333333333348</v>
      </c>
    </row>
    <row r="41" spans="1:4" x14ac:dyDescent="0.35">
      <c r="A41" s="6" t="s">
        <v>42</v>
      </c>
      <c r="B41" s="7">
        <v>2850</v>
      </c>
      <c r="C41" s="9">
        <f t="shared" si="0"/>
        <v>3384.6666666666665</v>
      </c>
      <c r="D41" s="11">
        <f t="shared" si="1"/>
        <v>-534.66666666666652</v>
      </c>
    </row>
    <row r="42" spans="1:4" x14ac:dyDescent="0.35">
      <c r="A42" s="6" t="s">
        <v>43</v>
      </c>
      <c r="B42" s="7">
        <v>2555</v>
      </c>
      <c r="C42" s="9">
        <f t="shared" si="0"/>
        <v>3433.5416666666665</v>
      </c>
      <c r="D42" s="11">
        <f t="shared" si="1"/>
        <v>-878.54166666666652</v>
      </c>
    </row>
    <row r="43" spans="1:4" x14ac:dyDescent="0.35">
      <c r="A43" s="6" t="s">
        <v>44</v>
      </c>
      <c r="B43" s="7">
        <v>3346</v>
      </c>
      <c r="C43" s="9">
        <f t="shared" si="0"/>
        <v>3481.2916666666665</v>
      </c>
      <c r="D43" s="11">
        <f t="shared" si="1"/>
        <v>-135.29166666666652</v>
      </c>
    </row>
    <row r="44" spans="1:4" x14ac:dyDescent="0.35">
      <c r="A44" s="6" t="s">
        <v>45</v>
      </c>
      <c r="B44" s="7">
        <v>4004</v>
      </c>
      <c r="C44" s="9">
        <f t="shared" si="0"/>
        <v>3514.8333333333335</v>
      </c>
      <c r="D44" s="11">
        <f t="shared" si="1"/>
        <v>489.16666666666652</v>
      </c>
    </row>
    <row r="45" spans="1:4" x14ac:dyDescent="0.35">
      <c r="A45" s="6" t="s">
        <v>46</v>
      </c>
      <c r="B45" s="7">
        <v>4078</v>
      </c>
      <c r="C45" s="9">
        <f t="shared" si="0"/>
        <v>3549.875</v>
      </c>
      <c r="D45" s="11">
        <f t="shared" si="1"/>
        <v>528.125</v>
      </c>
    </row>
    <row r="46" spans="1:4" x14ac:dyDescent="0.35">
      <c r="A46" s="6" t="s">
        <v>47</v>
      </c>
      <c r="B46" s="7">
        <v>4199</v>
      </c>
      <c r="C46" s="9">
        <f t="shared" si="0"/>
        <v>3567.7083333333335</v>
      </c>
      <c r="D46" s="11">
        <f t="shared" si="1"/>
        <v>631.29166666666652</v>
      </c>
    </row>
    <row r="47" spans="1:4" x14ac:dyDescent="0.35">
      <c r="A47" s="6" t="s">
        <v>48</v>
      </c>
      <c r="B47" s="7">
        <v>4053</v>
      </c>
      <c r="C47" s="9">
        <f t="shared" si="0"/>
        <v>3590.6666666666665</v>
      </c>
      <c r="D47" s="11">
        <f t="shared" si="1"/>
        <v>462.33333333333348</v>
      </c>
    </row>
    <row r="48" spans="1:4" x14ac:dyDescent="0.35">
      <c r="A48" s="6" t="s">
        <v>49</v>
      </c>
      <c r="B48" s="7">
        <v>4169</v>
      </c>
      <c r="C48" s="9">
        <f t="shared" si="0"/>
        <v>3672.125</v>
      </c>
      <c r="D48" s="11">
        <f t="shared" si="1"/>
        <v>496.875</v>
      </c>
    </row>
    <row r="49" spans="1:4" x14ac:dyDescent="0.35">
      <c r="A49" s="6" t="s">
        <v>50</v>
      </c>
      <c r="B49" s="7">
        <v>3757</v>
      </c>
      <c r="C49" s="9">
        <f t="shared" si="0"/>
        <v>3758.1666666666665</v>
      </c>
      <c r="D49" s="11">
        <f t="shared" si="1"/>
        <v>-1.1666666666665151</v>
      </c>
    </row>
    <row r="50" spans="1:4" x14ac:dyDescent="0.35">
      <c r="A50" s="6" t="s">
        <v>51</v>
      </c>
      <c r="B50" s="7">
        <v>3550</v>
      </c>
      <c r="C50" s="9">
        <f t="shared" si="0"/>
        <v>3793.7916666666665</v>
      </c>
      <c r="D50" s="11">
        <f t="shared" si="1"/>
        <v>-243.79166666666652</v>
      </c>
    </row>
    <row r="51" spans="1:4" x14ac:dyDescent="0.35">
      <c r="A51" s="6" t="s">
        <v>52</v>
      </c>
      <c r="B51" s="7">
        <v>3414</v>
      </c>
      <c r="C51" s="9">
        <f t="shared" si="0"/>
        <v>3804.8333333333335</v>
      </c>
      <c r="D51" s="11">
        <f t="shared" si="1"/>
        <v>-390.83333333333348</v>
      </c>
    </row>
    <row r="52" spans="1:4" x14ac:dyDescent="0.35">
      <c r="A52" s="6" t="s">
        <v>53</v>
      </c>
      <c r="B52" s="7">
        <v>2792</v>
      </c>
      <c r="C52" s="9">
        <f t="shared" si="0"/>
        <v>3816.625</v>
      </c>
      <c r="D52" s="11">
        <f t="shared" si="1"/>
        <v>-1024.625</v>
      </c>
    </row>
    <row r="53" spans="1:4" x14ac:dyDescent="0.35">
      <c r="A53" s="6" t="s">
        <v>54</v>
      </c>
      <c r="B53" s="7">
        <v>3492</v>
      </c>
      <c r="C53" s="9">
        <f t="shared" si="0"/>
        <v>3830.9583333333335</v>
      </c>
      <c r="D53" s="11">
        <f t="shared" si="1"/>
        <v>-338.95833333333348</v>
      </c>
    </row>
    <row r="54" spans="1:4" x14ac:dyDescent="0.35">
      <c r="A54" s="6" t="s">
        <v>55</v>
      </c>
      <c r="B54" s="7">
        <v>3868</v>
      </c>
      <c r="C54" s="9">
        <f t="shared" si="0"/>
        <v>3853.2916666666665</v>
      </c>
      <c r="D54" s="11">
        <f t="shared" si="1"/>
        <v>14.708333333333485</v>
      </c>
    </row>
    <row r="55" spans="1:4" x14ac:dyDescent="0.35">
      <c r="A55" s="6" t="s">
        <v>56</v>
      </c>
      <c r="B55" s="7">
        <v>4098</v>
      </c>
      <c r="C55" s="9">
        <f t="shared" si="0"/>
        <v>3875.5</v>
      </c>
      <c r="D55" s="11">
        <f t="shared" si="1"/>
        <v>222.5</v>
      </c>
    </row>
    <row r="56" spans="1:4" x14ac:dyDescent="0.35">
      <c r="A56" s="6" t="s">
        <v>57</v>
      </c>
      <c r="B56" s="7">
        <v>4107</v>
      </c>
      <c r="C56" s="9">
        <f t="shared" si="0"/>
        <v>3899.8333333333335</v>
      </c>
      <c r="D56" s="11">
        <f t="shared" si="1"/>
        <v>207.16666666666652</v>
      </c>
    </row>
    <row r="57" spans="1:4" x14ac:dyDescent="0.35">
      <c r="A57" s="6" t="s">
        <v>58</v>
      </c>
      <c r="B57" s="7">
        <v>4240</v>
      </c>
      <c r="C57" s="9" t="s">
        <v>79</v>
      </c>
      <c r="D57" s="11" t="str">
        <f t="shared" si="1"/>
        <v>NA</v>
      </c>
    </row>
    <row r="58" spans="1:4" x14ac:dyDescent="0.35">
      <c r="A58" s="6" t="s">
        <v>59</v>
      </c>
      <c r="B58" s="7">
        <v>4320</v>
      </c>
      <c r="C58" s="9" t="s">
        <v>79</v>
      </c>
      <c r="D58" s="11" t="str">
        <f t="shared" si="1"/>
        <v>NA</v>
      </c>
    </row>
    <row r="59" spans="1:4" x14ac:dyDescent="0.35">
      <c r="A59" s="6" t="s">
        <v>60</v>
      </c>
      <c r="B59" s="7">
        <v>4276</v>
      </c>
      <c r="C59" s="9" t="s">
        <v>79</v>
      </c>
      <c r="D59" s="11" t="str">
        <f t="shared" si="1"/>
        <v>NA</v>
      </c>
    </row>
    <row r="60" spans="1:4" x14ac:dyDescent="0.35">
      <c r="A60" s="6" t="s">
        <v>61</v>
      </c>
      <c r="B60" s="7">
        <v>4482</v>
      </c>
      <c r="C60" s="9" t="s">
        <v>79</v>
      </c>
      <c r="D60" s="11" t="str">
        <f t="shared" si="1"/>
        <v>NA</v>
      </c>
    </row>
    <row r="61" spans="1:4" x14ac:dyDescent="0.35">
      <c r="A61" s="6" t="s">
        <v>62</v>
      </c>
      <c r="B61" s="7">
        <v>3977</v>
      </c>
      <c r="C61" s="9" t="s">
        <v>79</v>
      </c>
      <c r="D61" s="11" t="str">
        <f t="shared" si="1"/>
        <v>NA</v>
      </c>
    </row>
    <row r="62" spans="1:4" x14ac:dyDescent="0.35">
      <c r="A62" s="12" t="s">
        <v>63</v>
      </c>
      <c r="B62" s="13">
        <v>3914</v>
      </c>
      <c r="C62" s="13" t="s">
        <v>79</v>
      </c>
      <c r="D62" s="11" t="str">
        <f t="shared" si="1"/>
        <v>NA</v>
      </c>
    </row>
    <row r="63" spans="1:4" x14ac:dyDescent="0.35">
      <c r="B63" t="s">
        <v>78</v>
      </c>
    </row>
    <row r="65" spans="1:14" x14ac:dyDescent="0.35">
      <c r="B65" t="s">
        <v>78</v>
      </c>
    </row>
    <row r="66" spans="1:14" ht="34.75" customHeight="1" x14ac:dyDescent="0.35">
      <c r="A66" s="33" t="s">
        <v>81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14"/>
    </row>
    <row r="67" spans="1:14" x14ac:dyDescent="0.35">
      <c r="A67" s="15" t="s">
        <v>64</v>
      </c>
      <c r="B67" s="16" t="s">
        <v>65</v>
      </c>
      <c r="C67" s="16" t="s">
        <v>66</v>
      </c>
      <c r="D67" s="16" t="s">
        <v>67</v>
      </c>
      <c r="E67" s="16" t="s">
        <v>68</v>
      </c>
      <c r="F67" s="16" t="s">
        <v>69</v>
      </c>
      <c r="G67" s="16" t="s">
        <v>70</v>
      </c>
      <c r="H67" s="16" t="s">
        <v>71</v>
      </c>
      <c r="I67" s="16" t="s">
        <v>72</v>
      </c>
      <c r="J67" s="16" t="s">
        <v>73</v>
      </c>
      <c r="K67" s="16" t="s">
        <v>74</v>
      </c>
      <c r="L67" s="16" t="s">
        <v>75</v>
      </c>
      <c r="M67" s="17" t="s">
        <v>76</v>
      </c>
      <c r="N67" s="18"/>
    </row>
    <row r="68" spans="1:14" x14ac:dyDescent="0.35">
      <c r="A68" s="19">
        <v>2017</v>
      </c>
      <c r="B68" s="7" t="str" cm="1">
        <f t="array" ref="B68:M68">TRANSPOSE(D3:D14)</f>
        <v>NA</v>
      </c>
      <c r="C68" s="7" t="str">
        <v>NA</v>
      </c>
      <c r="D68" s="7" t="str">
        <v>NA</v>
      </c>
      <c r="E68" s="7" t="str">
        <v>NA</v>
      </c>
      <c r="F68" s="7" t="str">
        <v>NA</v>
      </c>
      <c r="G68" s="7" t="str">
        <v>NA</v>
      </c>
      <c r="H68" s="11">
        <v>378.41666666666652</v>
      </c>
      <c r="I68" s="11">
        <v>59</v>
      </c>
      <c r="J68" s="11">
        <v>228.79166666666652</v>
      </c>
      <c r="K68" s="11">
        <v>302.79166666666652</v>
      </c>
      <c r="L68" s="11">
        <v>91.458333333333485</v>
      </c>
      <c r="M68" s="11">
        <v>72.416666666666515</v>
      </c>
      <c r="N68" s="20"/>
    </row>
    <row r="69" spans="1:14" x14ac:dyDescent="0.35">
      <c r="A69" s="19">
        <v>2018</v>
      </c>
      <c r="B69" s="11" cm="1">
        <f t="array" ref="B69:M69">TRANSPOSE(D15:D26)</f>
        <v>-302.08333333333348</v>
      </c>
      <c r="C69" s="11">
        <v>-574.04166666666652</v>
      </c>
      <c r="D69" s="9">
        <v>-296.70833333333348</v>
      </c>
      <c r="E69" s="9">
        <v>-334.16666666666652</v>
      </c>
      <c r="F69" s="9">
        <v>135.25</v>
      </c>
      <c r="G69" s="9">
        <v>221.58333333333348</v>
      </c>
      <c r="H69" s="9">
        <v>270.91666666666652</v>
      </c>
      <c r="I69" s="9">
        <v>219.79166666666652</v>
      </c>
      <c r="J69" s="9">
        <v>319.54166666666652</v>
      </c>
      <c r="K69" s="9">
        <v>395.83333333333348</v>
      </c>
      <c r="L69" s="9">
        <v>-14.25</v>
      </c>
      <c r="M69" s="10">
        <v>-79.458333333333485</v>
      </c>
      <c r="N69" s="20"/>
    </row>
    <row r="70" spans="1:14" x14ac:dyDescent="0.35">
      <c r="A70" s="19">
        <v>2019</v>
      </c>
      <c r="B70" s="9" cm="1">
        <f t="array" ref="B70:M70">TRANSPOSE(D27:D38)</f>
        <v>-308.70833333333348</v>
      </c>
      <c r="C70" s="9">
        <v>-727.125</v>
      </c>
      <c r="D70" s="9">
        <v>-311.08333333333348</v>
      </c>
      <c r="E70" s="9">
        <v>-180.29166666666652</v>
      </c>
      <c r="F70" s="9">
        <v>163</v>
      </c>
      <c r="G70" s="9">
        <v>192.04166666666652</v>
      </c>
      <c r="H70" s="9">
        <v>270.29166666666652</v>
      </c>
      <c r="I70" s="9">
        <v>376</v>
      </c>
      <c r="J70" s="9">
        <v>263.91666666666652</v>
      </c>
      <c r="K70" s="9">
        <v>253.16666666666652</v>
      </c>
      <c r="L70" s="9">
        <v>45.958333333333485</v>
      </c>
      <c r="M70" s="10">
        <v>-20.208333333333485</v>
      </c>
      <c r="N70" s="20"/>
    </row>
    <row r="71" spans="1:14" x14ac:dyDescent="0.35">
      <c r="A71" s="19">
        <v>2020</v>
      </c>
      <c r="B71" s="9" cm="1">
        <f t="array" ref="B71:M71">TRANSPOSE(D39:D50)</f>
        <v>-399.29166666666652</v>
      </c>
      <c r="C71" s="9">
        <v>-457.33333333333348</v>
      </c>
      <c r="D71" s="9">
        <v>-534.66666666666652</v>
      </c>
      <c r="E71" s="9">
        <v>-878.54166666666652</v>
      </c>
      <c r="F71" s="9">
        <v>-135.29166666666652</v>
      </c>
      <c r="G71" s="9">
        <v>489.16666666666652</v>
      </c>
      <c r="H71" s="9">
        <v>528.125</v>
      </c>
      <c r="I71" s="9">
        <v>631.29166666666652</v>
      </c>
      <c r="J71" s="9">
        <v>462.33333333333348</v>
      </c>
      <c r="K71" s="9">
        <v>496.875</v>
      </c>
      <c r="L71" s="9">
        <v>-1.1666666666665151</v>
      </c>
      <c r="M71" s="10">
        <v>-243.79166666666652</v>
      </c>
      <c r="N71" s="35" t="s">
        <v>77</v>
      </c>
    </row>
    <row r="72" spans="1:14" x14ac:dyDescent="0.35">
      <c r="A72" s="19">
        <v>2021</v>
      </c>
      <c r="B72" s="9" cm="1">
        <f t="array" ref="B72:M72">TRANSPOSE(D51:D62)</f>
        <v>-390.83333333333348</v>
      </c>
      <c r="C72" s="9">
        <v>-1024.625</v>
      </c>
      <c r="D72" s="9">
        <v>-338.95833333333348</v>
      </c>
      <c r="E72" s="9">
        <v>14.708333333333485</v>
      </c>
      <c r="F72" s="9">
        <v>222.5</v>
      </c>
      <c r="G72" s="9">
        <v>207.16666666666652</v>
      </c>
      <c r="H72" s="7" t="str">
        <v>NA</v>
      </c>
      <c r="I72" s="7" t="str">
        <v>NA</v>
      </c>
      <c r="J72" s="7" t="str">
        <v>NA</v>
      </c>
      <c r="K72" s="7" t="str">
        <v>NA</v>
      </c>
      <c r="L72" s="7" t="str">
        <v>NA</v>
      </c>
      <c r="M72" s="8" t="str">
        <v>NA</v>
      </c>
      <c r="N72" s="36"/>
    </row>
    <row r="73" spans="1:14" ht="21" customHeight="1" x14ac:dyDescent="0.35">
      <c r="A73" s="21" t="s">
        <v>82</v>
      </c>
      <c r="B73" s="9">
        <f>AVERAGE(B68:B72)</f>
        <v>-350.22916666666674</v>
      </c>
      <c r="C73" s="9">
        <f>AVERAGE(C68:C72)</f>
        <v>-695.78125</v>
      </c>
      <c r="D73" s="9">
        <f>AVERAGE(D68:D72)</f>
        <v>-370.35416666666674</v>
      </c>
      <c r="E73" s="11">
        <f t="shared" ref="E73:M73" si="2">AVERAGE(E68:E72)</f>
        <v>-344.57291666666652</v>
      </c>
      <c r="F73" s="11">
        <f t="shared" si="2"/>
        <v>96.364583333333371</v>
      </c>
      <c r="G73" s="11">
        <f t="shared" si="2"/>
        <v>277.48958333333326</v>
      </c>
      <c r="H73" s="11">
        <f t="shared" si="2"/>
        <v>361.93749999999989</v>
      </c>
      <c r="I73" s="11">
        <f t="shared" si="2"/>
        <v>321.52083333333326</v>
      </c>
      <c r="J73" s="11">
        <f t="shared" si="2"/>
        <v>318.64583333333326</v>
      </c>
      <c r="K73" s="11">
        <f t="shared" si="2"/>
        <v>362.16666666666663</v>
      </c>
      <c r="L73" s="11">
        <f t="shared" si="2"/>
        <v>30.500000000000114</v>
      </c>
      <c r="M73" s="11">
        <f t="shared" si="2"/>
        <v>-67.760416666666742</v>
      </c>
      <c r="N73" s="22">
        <v>-5.0060763888889142</v>
      </c>
    </row>
    <row r="74" spans="1:14" ht="19.25" customHeight="1" x14ac:dyDescent="0.35">
      <c r="A74" s="23"/>
      <c r="B74" s="24">
        <f t="shared" ref="B74:M74" si="3">B73-$N73</f>
        <v>-345.22309027777783</v>
      </c>
      <c r="C74" s="11">
        <f t="shared" si="3"/>
        <v>-690.77517361111109</v>
      </c>
      <c r="D74" s="11">
        <f t="shared" si="3"/>
        <v>-365.34809027777783</v>
      </c>
      <c r="E74" s="11">
        <f t="shared" si="3"/>
        <v>-339.5668402777776</v>
      </c>
      <c r="F74" s="11">
        <f t="shared" si="3"/>
        <v>101.37065972222229</v>
      </c>
      <c r="G74" s="11">
        <f t="shared" si="3"/>
        <v>282.49565972222217</v>
      </c>
      <c r="H74" s="11">
        <f t="shared" si="3"/>
        <v>366.9435763888888</v>
      </c>
      <c r="I74" s="11">
        <f t="shared" si="3"/>
        <v>326.52690972222217</v>
      </c>
      <c r="J74" s="11">
        <f t="shared" si="3"/>
        <v>323.65190972222217</v>
      </c>
      <c r="K74" s="11">
        <f t="shared" si="3"/>
        <v>367.17274305555554</v>
      </c>
      <c r="L74" s="11">
        <f t="shared" si="3"/>
        <v>35.506076388889028</v>
      </c>
      <c r="M74" s="11">
        <f t="shared" si="3"/>
        <v>-62.754340277777828</v>
      </c>
      <c r="N74" s="25"/>
    </row>
    <row r="75" spans="1:14" x14ac:dyDescent="0.35"/>
    <row r="78" spans="1:14" ht="43.75" customHeight="1" x14ac:dyDescent="0.45">
      <c r="A78" s="37" t="s">
        <v>83</v>
      </c>
      <c r="B78" s="38"/>
      <c r="C78" s="38"/>
      <c r="D78" s="38"/>
      <c r="E78" s="38"/>
      <c r="F78" s="38"/>
      <c r="G78" s="39"/>
    </row>
    <row r="79" spans="1:14" ht="37.75" customHeight="1" x14ac:dyDescent="0.35">
      <c r="A79" s="26" t="s">
        <v>0</v>
      </c>
      <c r="B79" s="27" t="s">
        <v>1</v>
      </c>
      <c r="C79" s="28"/>
      <c r="D79" s="28"/>
      <c r="E79" s="28"/>
      <c r="F79" s="28" t="s">
        <v>2</v>
      </c>
      <c r="G79" s="29" t="s">
        <v>3</v>
      </c>
    </row>
    <row r="80" spans="1:14" x14ac:dyDescent="0.35">
      <c r="A80" s="6" t="s">
        <v>4</v>
      </c>
      <c r="B80" s="7">
        <f>B3</f>
        <v>3034</v>
      </c>
      <c r="C80" s="7" t="str">
        <f t="shared" ref="C80:D80" si="4">C3</f>
        <v>NA</v>
      </c>
      <c r="D80" s="8" t="str">
        <f>IF(LEN(D3)&gt;0,D3,"")</f>
        <v>NA</v>
      </c>
      <c r="E80" s="11" cm="1">
        <f t="array" ref="E80:E91">TRANSPOSE(B$74:M$74)</f>
        <v>-345.22309027777783</v>
      </c>
      <c r="F80" s="7" t="str">
        <f>IFERROR(B3-C3-E80, "NA")</f>
        <v>NA</v>
      </c>
      <c r="G80" s="11">
        <f>B80-E80</f>
        <v>3379.2230902777778</v>
      </c>
    </row>
    <row r="81" spans="1:8" x14ac:dyDescent="0.35">
      <c r="A81" s="6" t="s">
        <v>5</v>
      </c>
      <c r="B81" s="7">
        <f t="shared" ref="B81:D96" si="5">B4</f>
        <v>2748</v>
      </c>
      <c r="C81" s="7" t="str">
        <f t="shared" si="5"/>
        <v>NA</v>
      </c>
      <c r="D81" s="8" t="str">
        <f t="shared" ref="D81:D139" si="6">IF(LEN(D4)&gt;0,D4,"")</f>
        <v>NA</v>
      </c>
      <c r="E81" s="11">
        <v>-690.77517361111109</v>
      </c>
      <c r="F81" s="7" t="str">
        <f t="shared" ref="F81:F139" si="7">IFERROR(B4-C4-E81, "NA")</f>
        <v>NA</v>
      </c>
      <c r="G81" s="11">
        <f t="shared" ref="G81:G139" si="8">B81-E81</f>
        <v>3438.7751736111113</v>
      </c>
    </row>
    <row r="82" spans="1:8" x14ac:dyDescent="0.35">
      <c r="A82" s="6" t="s">
        <v>6</v>
      </c>
      <c r="B82" s="7">
        <f t="shared" si="5"/>
        <v>3164</v>
      </c>
      <c r="C82" s="7" t="str">
        <f t="shared" si="5"/>
        <v>NA</v>
      </c>
      <c r="D82" s="8" t="str">
        <f t="shared" si="6"/>
        <v>NA</v>
      </c>
      <c r="E82" s="11">
        <v>-365.34809027777783</v>
      </c>
      <c r="F82" s="7" t="str">
        <f t="shared" si="7"/>
        <v>NA</v>
      </c>
      <c r="G82" s="11">
        <f t="shared" si="8"/>
        <v>3529.3480902777778</v>
      </c>
    </row>
    <row r="83" spans="1:8" x14ac:dyDescent="0.35">
      <c r="A83" s="6" t="s">
        <v>7</v>
      </c>
      <c r="B83" s="7">
        <f t="shared" si="5"/>
        <v>3238</v>
      </c>
      <c r="C83" s="7" t="str">
        <f t="shared" si="5"/>
        <v>NA</v>
      </c>
      <c r="D83" s="8" t="str">
        <f t="shared" si="6"/>
        <v>NA</v>
      </c>
      <c r="E83" s="11">
        <v>-339.5668402777776</v>
      </c>
      <c r="F83" s="7" t="str">
        <f t="shared" si="7"/>
        <v>NA</v>
      </c>
      <c r="G83" s="11">
        <f t="shared" si="8"/>
        <v>3577.5668402777774</v>
      </c>
    </row>
    <row r="84" spans="1:8" x14ac:dyDescent="0.35">
      <c r="A84" s="6" t="s">
        <v>8</v>
      </c>
      <c r="B84" s="7">
        <f t="shared" si="5"/>
        <v>3416</v>
      </c>
      <c r="C84" s="7" t="str">
        <f t="shared" si="5"/>
        <v>NA</v>
      </c>
      <c r="D84" s="8" t="str">
        <f t="shared" si="6"/>
        <v>NA</v>
      </c>
      <c r="E84" s="11">
        <v>101.37065972222229</v>
      </c>
      <c r="F84" s="7" t="str">
        <f t="shared" si="7"/>
        <v>NA</v>
      </c>
      <c r="G84" s="11">
        <f t="shared" si="8"/>
        <v>3314.6293402777778</v>
      </c>
    </row>
    <row r="85" spans="1:8" x14ac:dyDescent="0.35">
      <c r="A85" s="6" t="s">
        <v>9</v>
      </c>
      <c r="B85" s="7">
        <f t="shared" si="5"/>
        <v>3492</v>
      </c>
      <c r="C85" s="7" t="str">
        <f t="shared" si="5"/>
        <v>NA</v>
      </c>
      <c r="D85" s="8" t="str">
        <f t="shared" si="6"/>
        <v>NA</v>
      </c>
      <c r="E85" s="11">
        <v>282.49565972222217</v>
      </c>
      <c r="F85" s="7" t="str">
        <f t="shared" si="7"/>
        <v>NA</v>
      </c>
      <c r="G85" s="11">
        <f t="shared" si="8"/>
        <v>3209.5043402777778</v>
      </c>
    </row>
    <row r="86" spans="1:8" x14ac:dyDescent="0.35">
      <c r="A86" s="6" t="s">
        <v>10</v>
      </c>
      <c r="B86" s="7">
        <f t="shared" si="5"/>
        <v>3730</v>
      </c>
      <c r="C86" s="9">
        <f t="shared" si="5"/>
        <v>3351.5833333333335</v>
      </c>
      <c r="D86" s="10">
        <f t="shared" si="6"/>
        <v>378.41666666666652</v>
      </c>
      <c r="E86" s="11">
        <v>366.9435763888888</v>
      </c>
      <c r="F86" s="11">
        <f t="shared" si="7"/>
        <v>11.473090277777715</v>
      </c>
      <c r="G86" s="11">
        <f t="shared" si="8"/>
        <v>3363.0564236111113</v>
      </c>
    </row>
    <row r="87" spans="1:8" x14ac:dyDescent="0.35">
      <c r="A87" s="6" t="s">
        <v>11</v>
      </c>
      <c r="B87" s="7">
        <f t="shared" si="5"/>
        <v>3409</v>
      </c>
      <c r="C87" s="9">
        <f t="shared" si="5"/>
        <v>3350</v>
      </c>
      <c r="D87" s="11">
        <f t="shared" si="6"/>
        <v>59</v>
      </c>
      <c r="E87" s="11">
        <v>326.52690972222217</v>
      </c>
      <c r="F87" s="11">
        <f t="shared" si="7"/>
        <v>-267.52690972222217</v>
      </c>
      <c r="G87" s="11">
        <f t="shared" si="8"/>
        <v>3082.4730902777778</v>
      </c>
    </row>
    <row r="88" spans="1:8" x14ac:dyDescent="0.35">
      <c r="A88" s="6" t="s">
        <v>12</v>
      </c>
      <c r="B88" s="7">
        <f t="shared" si="5"/>
        <v>3572</v>
      </c>
      <c r="C88" s="9">
        <f t="shared" si="5"/>
        <v>3343.2083333333335</v>
      </c>
      <c r="D88" s="11">
        <f t="shared" si="6"/>
        <v>228.79166666666652</v>
      </c>
      <c r="E88" s="11">
        <v>323.65190972222217</v>
      </c>
      <c r="F88" s="11">
        <f t="shared" si="7"/>
        <v>-94.860243055555657</v>
      </c>
      <c r="G88" s="11">
        <f t="shared" si="8"/>
        <v>3248.3480902777778</v>
      </c>
    </row>
    <row r="89" spans="1:8" x14ac:dyDescent="0.35">
      <c r="A89" s="6" t="s">
        <v>13</v>
      </c>
      <c r="B89" s="7">
        <f t="shared" si="5"/>
        <v>3629</v>
      </c>
      <c r="C89" s="9">
        <f t="shared" si="5"/>
        <v>3326.2083333333335</v>
      </c>
      <c r="D89" s="11">
        <f t="shared" si="6"/>
        <v>302.79166666666652</v>
      </c>
      <c r="E89" s="11">
        <v>367.17274305555554</v>
      </c>
      <c r="F89" s="11">
        <f t="shared" si="7"/>
        <v>-64.381076388889028</v>
      </c>
      <c r="G89" s="11">
        <f t="shared" si="8"/>
        <v>3261.8272569444443</v>
      </c>
    </row>
    <row r="90" spans="1:8" x14ac:dyDescent="0.35">
      <c r="A90" s="6" t="s">
        <v>14</v>
      </c>
      <c r="B90" s="7">
        <f t="shared" si="5"/>
        <v>3408</v>
      </c>
      <c r="C90" s="9">
        <f t="shared" si="5"/>
        <v>3316.5416666666665</v>
      </c>
      <c r="D90" s="11">
        <f t="shared" si="6"/>
        <v>91.458333333333485</v>
      </c>
      <c r="E90" s="11">
        <v>35.506076388889028</v>
      </c>
      <c r="F90" s="11">
        <f t="shared" si="7"/>
        <v>55.952256944444457</v>
      </c>
      <c r="G90" s="11">
        <f t="shared" si="8"/>
        <v>3372.4939236111109</v>
      </c>
    </row>
    <row r="91" spans="1:8" x14ac:dyDescent="0.35">
      <c r="A91" s="6" t="s">
        <v>15</v>
      </c>
      <c r="B91" s="7">
        <f t="shared" si="5"/>
        <v>3391</v>
      </c>
      <c r="C91" s="9">
        <f t="shared" si="5"/>
        <v>3318.5833333333335</v>
      </c>
      <c r="D91" s="11">
        <f t="shared" si="6"/>
        <v>72.416666666666515</v>
      </c>
      <c r="E91" s="11">
        <v>-62.754340277777828</v>
      </c>
      <c r="F91" s="11">
        <f t="shared" si="7"/>
        <v>135.17100694444434</v>
      </c>
      <c r="G91" s="11">
        <f t="shared" si="8"/>
        <v>3453.7543402777778</v>
      </c>
    </row>
    <row r="92" spans="1:8" x14ac:dyDescent="0.35">
      <c r="A92" s="6" t="s">
        <v>16</v>
      </c>
      <c r="B92" s="7">
        <f t="shared" si="5"/>
        <v>3010</v>
      </c>
      <c r="C92" s="9">
        <f t="shared" si="5"/>
        <v>3312.0833333333335</v>
      </c>
      <c r="D92" s="11">
        <f t="shared" si="6"/>
        <v>-302.08333333333348</v>
      </c>
      <c r="E92" s="11" cm="1">
        <f t="array" ref="E92:E103">TRANSPOSE(B$74:M$74)</f>
        <v>-345.22309027777783</v>
      </c>
      <c r="F92" s="11">
        <f t="shared" si="7"/>
        <v>43.139756944444343</v>
      </c>
      <c r="G92" s="11">
        <f t="shared" si="8"/>
        <v>3355.2230902777778</v>
      </c>
    </row>
    <row r="93" spans="1:8" x14ac:dyDescent="0.35">
      <c r="A93" s="6" t="s">
        <v>17</v>
      </c>
      <c r="B93" s="7">
        <f t="shared" si="5"/>
        <v>2734</v>
      </c>
      <c r="C93" s="9">
        <f t="shared" si="5"/>
        <v>3308.0416666666665</v>
      </c>
      <c r="D93" s="11">
        <f t="shared" si="6"/>
        <v>-574.04166666666652</v>
      </c>
      <c r="E93" s="11">
        <v>-690.77517361111109</v>
      </c>
      <c r="F93" s="11">
        <f t="shared" si="7"/>
        <v>116.73350694444457</v>
      </c>
      <c r="G93" s="11">
        <f t="shared" si="8"/>
        <v>3424.7751736111113</v>
      </c>
    </row>
    <row r="94" spans="1:8" x14ac:dyDescent="0.35">
      <c r="A94" s="6" t="s">
        <v>18</v>
      </c>
      <c r="B94" s="7">
        <f t="shared" si="5"/>
        <v>3015</v>
      </c>
      <c r="C94" s="9">
        <f t="shared" si="5"/>
        <v>3311.7083333333335</v>
      </c>
      <c r="D94" s="11">
        <f t="shared" si="6"/>
        <v>-296.70833333333348</v>
      </c>
      <c r="E94" s="11">
        <v>-365.34809027777783</v>
      </c>
      <c r="F94" s="11">
        <f t="shared" si="7"/>
        <v>68.639756944444343</v>
      </c>
      <c r="G94" s="11">
        <f t="shared" si="8"/>
        <v>3380.3480902777778</v>
      </c>
    </row>
    <row r="95" spans="1:8" x14ac:dyDescent="0.35">
      <c r="A95" s="6" t="s">
        <v>19</v>
      </c>
      <c r="B95" s="7">
        <f t="shared" si="5"/>
        <v>2979</v>
      </c>
      <c r="C95" s="9">
        <f t="shared" si="5"/>
        <v>3313.1666666666665</v>
      </c>
      <c r="D95" s="11">
        <f t="shared" si="6"/>
        <v>-334.16666666666652</v>
      </c>
      <c r="E95" s="11">
        <v>-339.5668402777776</v>
      </c>
      <c r="F95" s="11">
        <f t="shared" si="7"/>
        <v>5.4001736111110858</v>
      </c>
      <c r="G95" s="11">
        <f t="shared" si="8"/>
        <v>3318.5668402777774</v>
      </c>
    </row>
    <row r="96" spans="1:8" x14ac:dyDescent="0.35">
      <c r="A96" s="6" t="s">
        <v>20</v>
      </c>
      <c r="B96" s="7">
        <f t="shared" si="5"/>
        <v>3443</v>
      </c>
      <c r="C96" s="9">
        <f t="shared" si="5"/>
        <v>3307.75</v>
      </c>
      <c r="D96" s="11">
        <f t="shared" si="6"/>
        <v>135.25</v>
      </c>
      <c r="E96" s="11">
        <v>101.37065972222229</v>
      </c>
      <c r="F96" s="11">
        <f t="shared" si="7"/>
        <v>33.879340277777715</v>
      </c>
      <c r="G96" s="11">
        <f t="shared" si="8"/>
        <v>3341.6293402777778</v>
      </c>
      <c r="H96" s="1"/>
    </row>
    <row r="97" spans="1:13" x14ac:dyDescent="0.35">
      <c r="A97" s="6" t="s">
        <v>21</v>
      </c>
      <c r="B97" s="7">
        <f t="shared" ref="B97:D112" si="9">B20</f>
        <v>3514</v>
      </c>
      <c r="C97" s="9">
        <f t="shared" si="9"/>
        <v>3292.4166666666665</v>
      </c>
      <c r="D97" s="11">
        <f t="shared" si="6"/>
        <v>221.58333333333348</v>
      </c>
      <c r="E97" s="11">
        <v>282.49565972222217</v>
      </c>
      <c r="F97" s="11">
        <f t="shared" si="7"/>
        <v>-60.912326388888687</v>
      </c>
      <c r="G97" s="11">
        <f t="shared" si="8"/>
        <v>3231.5043402777778</v>
      </c>
    </row>
    <row r="98" spans="1:13" x14ac:dyDescent="0.35">
      <c r="A98" s="6" t="s">
        <v>22</v>
      </c>
      <c r="B98" s="7">
        <f t="shared" si="9"/>
        <v>3552</v>
      </c>
      <c r="C98" s="9">
        <f t="shared" si="9"/>
        <v>3281.0833333333335</v>
      </c>
      <c r="D98" s="11">
        <f t="shared" si="6"/>
        <v>270.91666666666652</v>
      </c>
      <c r="E98" s="11">
        <v>366.9435763888888</v>
      </c>
      <c r="F98" s="11">
        <f t="shared" si="7"/>
        <v>-96.026909722222285</v>
      </c>
      <c r="G98" s="11">
        <f t="shared" si="8"/>
        <v>3185.0564236111113</v>
      </c>
    </row>
    <row r="99" spans="1:13" x14ac:dyDescent="0.35">
      <c r="A99" s="6" t="s">
        <v>23</v>
      </c>
      <c r="B99" s="7">
        <f t="shared" si="9"/>
        <v>3490</v>
      </c>
      <c r="C99" s="9">
        <f t="shared" si="9"/>
        <v>3270.2083333333335</v>
      </c>
      <c r="D99" s="11">
        <f t="shared" si="6"/>
        <v>219.79166666666652</v>
      </c>
      <c r="E99" s="11">
        <v>326.52690972222217</v>
      </c>
      <c r="F99" s="11">
        <f t="shared" si="7"/>
        <v>-106.73524305555566</v>
      </c>
      <c r="G99" s="11">
        <f t="shared" si="8"/>
        <v>3163.4730902777778</v>
      </c>
    </row>
    <row r="100" spans="1:13" x14ac:dyDescent="0.35">
      <c r="A100" s="6" t="s">
        <v>24</v>
      </c>
      <c r="B100" s="7">
        <f t="shared" si="9"/>
        <v>3579</v>
      </c>
      <c r="C100" s="9">
        <f t="shared" si="9"/>
        <v>3259.4583333333335</v>
      </c>
      <c r="D100" s="11">
        <f t="shared" si="6"/>
        <v>319.54166666666652</v>
      </c>
      <c r="E100" s="11">
        <v>323.65190972222217</v>
      </c>
      <c r="F100" s="11">
        <f t="shared" si="7"/>
        <v>-4.1102430555556566</v>
      </c>
      <c r="G100" s="11">
        <f t="shared" si="8"/>
        <v>3255.3480902777778</v>
      </c>
    </row>
    <row r="101" spans="1:13" x14ac:dyDescent="0.35">
      <c r="A101" s="6" t="s">
        <v>25</v>
      </c>
      <c r="B101" s="7">
        <f t="shared" si="9"/>
        <v>3657</v>
      </c>
      <c r="C101" s="9">
        <f t="shared" si="9"/>
        <v>3261.1666666666665</v>
      </c>
      <c r="D101" s="11">
        <f t="shared" si="6"/>
        <v>395.83333333333348</v>
      </c>
      <c r="E101" s="11">
        <v>367.17274305555554</v>
      </c>
      <c r="F101" s="11">
        <f t="shared" si="7"/>
        <v>28.660590277777942</v>
      </c>
      <c r="G101" s="11">
        <f t="shared" si="8"/>
        <v>3289.8272569444443</v>
      </c>
    </row>
    <row r="102" spans="1:13" x14ac:dyDescent="0.35">
      <c r="A102" s="6" t="s">
        <v>26</v>
      </c>
      <c r="B102" s="7">
        <f t="shared" si="9"/>
        <v>3250</v>
      </c>
      <c r="C102" s="9">
        <f t="shared" si="9"/>
        <v>3264.25</v>
      </c>
      <c r="D102" s="11">
        <f t="shared" si="6"/>
        <v>-14.25</v>
      </c>
      <c r="E102" s="11">
        <v>35.506076388889028</v>
      </c>
      <c r="F102" s="11">
        <f t="shared" si="7"/>
        <v>-49.756076388889028</v>
      </c>
      <c r="G102" s="11">
        <f t="shared" si="8"/>
        <v>3214.4939236111109</v>
      </c>
    </row>
    <row r="103" spans="1:13" x14ac:dyDescent="0.35">
      <c r="A103" s="6" t="s">
        <v>27</v>
      </c>
      <c r="B103" s="7">
        <f t="shared" si="9"/>
        <v>3181</v>
      </c>
      <c r="C103" s="9">
        <f t="shared" si="9"/>
        <v>3260.4583333333335</v>
      </c>
      <c r="D103" s="11">
        <f t="shared" si="6"/>
        <v>-79.458333333333485</v>
      </c>
      <c r="E103" s="11">
        <v>-62.754340277777828</v>
      </c>
      <c r="F103" s="11">
        <f t="shared" si="7"/>
        <v>-16.703993055555657</v>
      </c>
      <c r="G103" s="11">
        <f t="shared" si="8"/>
        <v>3243.7543402777778</v>
      </c>
    </row>
    <row r="104" spans="1:13" x14ac:dyDescent="0.35">
      <c r="A104" s="6" t="s">
        <v>28</v>
      </c>
      <c r="B104" s="7">
        <f t="shared" si="9"/>
        <v>2948</v>
      </c>
      <c r="C104" s="9">
        <f t="shared" si="9"/>
        <v>3256.7083333333335</v>
      </c>
      <c r="D104" s="11">
        <f t="shared" si="6"/>
        <v>-308.70833333333348</v>
      </c>
      <c r="E104" s="11" cm="1">
        <f t="array" ref="E104:E115">TRANSPOSE(B$74:M$74)</f>
        <v>-345.22309027777783</v>
      </c>
      <c r="F104" s="11">
        <f t="shared" si="7"/>
        <v>36.514756944444343</v>
      </c>
      <c r="G104" s="11">
        <f t="shared" si="8"/>
        <v>3293.2230902777778</v>
      </c>
    </row>
    <row r="105" spans="1:13" x14ac:dyDescent="0.35">
      <c r="A105" s="6" t="s">
        <v>29</v>
      </c>
      <c r="B105" s="7">
        <f t="shared" si="9"/>
        <v>2535</v>
      </c>
      <c r="C105" s="9">
        <f t="shared" si="9"/>
        <v>3262.125</v>
      </c>
      <c r="D105" s="11">
        <f t="shared" si="6"/>
        <v>-727.125</v>
      </c>
      <c r="E105" s="11">
        <v>-690.77517361111109</v>
      </c>
      <c r="F105" s="11">
        <f t="shared" si="7"/>
        <v>-36.349826388888914</v>
      </c>
      <c r="G105" s="11">
        <f t="shared" si="8"/>
        <v>3225.7751736111113</v>
      </c>
    </row>
    <row r="106" spans="1:13" x14ac:dyDescent="0.35">
      <c r="A106" s="6" t="s">
        <v>30</v>
      </c>
      <c r="B106" s="7">
        <f t="shared" si="9"/>
        <v>2956</v>
      </c>
      <c r="C106" s="9">
        <f t="shared" si="9"/>
        <v>3267.0833333333335</v>
      </c>
      <c r="D106" s="11">
        <f t="shared" si="6"/>
        <v>-311.08333333333348</v>
      </c>
      <c r="E106" s="11">
        <v>-365.34809027777783</v>
      </c>
      <c r="F106" s="11">
        <f t="shared" si="7"/>
        <v>54.264756944444343</v>
      </c>
      <c r="G106" s="11">
        <f t="shared" si="8"/>
        <v>3321.3480902777778</v>
      </c>
    </row>
    <row r="107" spans="1:13" x14ac:dyDescent="0.35">
      <c r="A107" s="6" t="s">
        <v>31</v>
      </c>
      <c r="B107" s="7">
        <f t="shared" si="9"/>
        <v>3079</v>
      </c>
      <c r="C107" s="9">
        <f t="shared" si="9"/>
        <v>3259.2916666666665</v>
      </c>
      <c r="D107" s="11">
        <f t="shared" si="6"/>
        <v>-180.29166666666652</v>
      </c>
      <c r="E107" s="11">
        <v>-339.5668402777776</v>
      </c>
      <c r="F107" s="11">
        <f t="shared" si="7"/>
        <v>159.27517361111109</v>
      </c>
      <c r="G107" s="11">
        <f t="shared" si="8"/>
        <v>3418.5668402777774</v>
      </c>
    </row>
    <row r="108" spans="1:13" x14ac:dyDescent="0.35">
      <c r="A108" s="6" t="s">
        <v>32</v>
      </c>
      <c r="B108" s="7">
        <f t="shared" si="9"/>
        <v>3417</v>
      </c>
      <c r="C108" s="9">
        <f t="shared" si="9"/>
        <v>3254</v>
      </c>
      <c r="D108" s="11">
        <f t="shared" si="6"/>
        <v>163</v>
      </c>
      <c r="E108" s="11">
        <v>101.37065972222229</v>
      </c>
      <c r="F108" s="11">
        <f t="shared" si="7"/>
        <v>61.629340277777715</v>
      </c>
      <c r="G108" s="11">
        <f t="shared" si="8"/>
        <v>3315.6293402777778</v>
      </c>
    </row>
    <row r="109" spans="1:13" x14ac:dyDescent="0.35">
      <c r="A109" s="6" t="s">
        <v>33</v>
      </c>
      <c r="B109" s="7">
        <f t="shared" si="9"/>
        <v>3449</v>
      </c>
      <c r="C109" s="9">
        <f t="shared" si="9"/>
        <v>3256.9583333333335</v>
      </c>
      <c r="D109" s="11">
        <f t="shared" si="6"/>
        <v>192.04166666666652</v>
      </c>
      <c r="E109" s="11">
        <v>282.49565972222217</v>
      </c>
      <c r="F109" s="11">
        <f t="shared" si="7"/>
        <v>-90.453993055555657</v>
      </c>
      <c r="G109" s="11">
        <f t="shared" si="8"/>
        <v>3166.5043402777778</v>
      </c>
      <c r="H109" s="1"/>
      <c r="I109" s="1"/>
      <c r="J109" s="1"/>
      <c r="K109" s="1"/>
      <c r="L109" s="1"/>
      <c r="M109" s="1"/>
    </row>
    <row r="110" spans="1:13" x14ac:dyDescent="0.35">
      <c r="A110" s="6" t="s">
        <v>34</v>
      </c>
      <c r="B110" s="7">
        <f t="shared" si="9"/>
        <v>3527</v>
      </c>
      <c r="C110" s="9">
        <f t="shared" si="9"/>
        <v>3256.7083333333335</v>
      </c>
      <c r="D110" s="11">
        <f t="shared" si="6"/>
        <v>270.29166666666652</v>
      </c>
      <c r="E110" s="11">
        <v>366.9435763888888</v>
      </c>
      <c r="F110" s="11">
        <f t="shared" si="7"/>
        <v>-96.651909722222285</v>
      </c>
      <c r="G110" s="11">
        <f t="shared" si="8"/>
        <v>3160.0564236111113</v>
      </c>
      <c r="H110" s="1"/>
      <c r="I110" s="1"/>
      <c r="J110" s="1"/>
      <c r="K110" s="1"/>
      <c r="L110" s="1"/>
      <c r="M110" s="1"/>
    </row>
    <row r="111" spans="1:13" x14ac:dyDescent="0.35">
      <c r="A111" s="6" t="s">
        <v>35</v>
      </c>
      <c r="B111" s="7">
        <f t="shared" si="9"/>
        <v>3645</v>
      </c>
      <c r="C111" s="9">
        <f t="shared" si="9"/>
        <v>3269</v>
      </c>
      <c r="D111" s="11">
        <f t="shared" si="6"/>
        <v>376</v>
      </c>
      <c r="E111" s="11">
        <v>326.52690972222217</v>
      </c>
      <c r="F111" s="11">
        <f t="shared" si="7"/>
        <v>49.473090277777828</v>
      </c>
      <c r="G111" s="11">
        <f t="shared" si="8"/>
        <v>3318.4730902777778</v>
      </c>
      <c r="H111" s="1"/>
      <c r="I111" s="1"/>
      <c r="J111" s="1"/>
      <c r="K111" s="1"/>
      <c r="L111" s="1"/>
      <c r="M111" s="1"/>
    </row>
    <row r="112" spans="1:13" x14ac:dyDescent="0.35">
      <c r="A112" s="6" t="s">
        <v>36</v>
      </c>
      <c r="B112" s="7">
        <f t="shared" si="9"/>
        <v>3543</v>
      </c>
      <c r="C112" s="9">
        <f t="shared" si="9"/>
        <v>3279.0833333333335</v>
      </c>
      <c r="D112" s="11">
        <f t="shared" si="6"/>
        <v>263.91666666666652</v>
      </c>
      <c r="E112" s="11">
        <v>323.65190972222217</v>
      </c>
      <c r="F112" s="11">
        <f t="shared" si="7"/>
        <v>-59.735243055555657</v>
      </c>
      <c r="G112" s="11">
        <f t="shared" si="8"/>
        <v>3219.3480902777778</v>
      </c>
      <c r="H112" s="1"/>
      <c r="I112" s="1"/>
      <c r="J112" s="1"/>
      <c r="K112" s="1"/>
      <c r="L112" s="1"/>
      <c r="M112" s="1"/>
    </row>
    <row r="113" spans="1:14" x14ac:dyDescent="0.35">
      <c r="A113" s="6" t="s">
        <v>37</v>
      </c>
      <c r="B113" s="7">
        <f t="shared" ref="B113:D128" si="10">B36</f>
        <v>3506</v>
      </c>
      <c r="C113" s="9">
        <f t="shared" si="10"/>
        <v>3252.8333333333335</v>
      </c>
      <c r="D113" s="11">
        <f t="shared" si="6"/>
        <v>253.16666666666652</v>
      </c>
      <c r="E113" s="11">
        <v>367.17274305555554</v>
      </c>
      <c r="F113" s="11">
        <f t="shared" si="7"/>
        <v>-114.00607638888903</v>
      </c>
      <c r="G113" s="11">
        <f t="shared" si="8"/>
        <v>3138.8272569444443</v>
      </c>
    </row>
    <row r="114" spans="1:14" x14ac:dyDescent="0.35">
      <c r="A114" s="6" t="s">
        <v>38</v>
      </c>
      <c r="B114" s="7">
        <f t="shared" si="10"/>
        <v>3274</v>
      </c>
      <c r="C114" s="9">
        <f t="shared" si="10"/>
        <v>3228.0416666666665</v>
      </c>
      <c r="D114" s="11">
        <f t="shared" si="6"/>
        <v>45.958333333333485</v>
      </c>
      <c r="E114" s="11">
        <v>35.506076388889028</v>
      </c>
      <c r="F114" s="11">
        <f t="shared" si="7"/>
        <v>10.452256944444457</v>
      </c>
      <c r="G114" s="11">
        <f t="shared" si="8"/>
        <v>3238.4939236111109</v>
      </c>
      <c r="H114" s="1"/>
      <c r="I114" s="1"/>
      <c r="J114" s="1"/>
      <c r="K114" s="1"/>
      <c r="L114" s="1"/>
      <c r="M114" s="1"/>
    </row>
    <row r="115" spans="1:14" x14ac:dyDescent="0.35">
      <c r="A115" s="6" t="s">
        <v>39</v>
      </c>
      <c r="B115" s="7">
        <f t="shared" si="10"/>
        <v>3228</v>
      </c>
      <c r="C115" s="9">
        <f t="shared" si="10"/>
        <v>3248.2083333333335</v>
      </c>
      <c r="D115" s="11">
        <f t="shared" si="6"/>
        <v>-20.208333333333485</v>
      </c>
      <c r="E115" s="11">
        <v>-62.754340277777828</v>
      </c>
      <c r="F115" s="11">
        <f t="shared" si="7"/>
        <v>42.546006944444343</v>
      </c>
      <c r="G115" s="11">
        <f t="shared" si="8"/>
        <v>3290.7543402777778</v>
      </c>
      <c r="H115" s="1"/>
      <c r="I115" s="1"/>
      <c r="J115" s="1"/>
      <c r="K115" s="1"/>
      <c r="L115" s="1"/>
      <c r="M115" s="1"/>
      <c r="N115" s="1"/>
    </row>
    <row r="116" spans="1:14" x14ac:dyDescent="0.35">
      <c r="A116" s="6" t="s">
        <v>40</v>
      </c>
      <c r="B116" s="7">
        <f t="shared" si="10"/>
        <v>2895</v>
      </c>
      <c r="C116" s="9">
        <f t="shared" si="10"/>
        <v>3294.2916666666665</v>
      </c>
      <c r="D116" s="11">
        <f t="shared" si="6"/>
        <v>-399.29166666666652</v>
      </c>
      <c r="E116" s="11" cm="1">
        <f t="array" ref="E116:E127">TRANSPOSE(B$74:M$74)</f>
        <v>-345.22309027777783</v>
      </c>
      <c r="F116" s="11">
        <f t="shared" si="7"/>
        <v>-54.068576388888687</v>
      </c>
      <c r="G116" s="11">
        <f t="shared" si="8"/>
        <v>3240.2230902777778</v>
      </c>
    </row>
    <row r="117" spans="1:14" x14ac:dyDescent="0.35">
      <c r="A117" s="6" t="s">
        <v>41</v>
      </c>
      <c r="B117" s="7">
        <f t="shared" si="10"/>
        <v>2883</v>
      </c>
      <c r="C117" s="9">
        <f t="shared" si="10"/>
        <v>3340.3333333333335</v>
      </c>
      <c r="D117" s="11">
        <f t="shared" si="6"/>
        <v>-457.33333333333348</v>
      </c>
      <c r="E117" s="11">
        <v>-690.77517361111109</v>
      </c>
      <c r="F117" s="11">
        <f t="shared" si="7"/>
        <v>233.4418402777776</v>
      </c>
      <c r="G117" s="11">
        <f t="shared" si="8"/>
        <v>3573.7751736111113</v>
      </c>
    </row>
    <row r="118" spans="1:14" x14ac:dyDescent="0.35">
      <c r="A118" s="6" t="s">
        <v>42</v>
      </c>
      <c r="B118" s="7">
        <f t="shared" si="10"/>
        <v>2850</v>
      </c>
      <c r="C118" s="9">
        <f t="shared" si="10"/>
        <v>3384.6666666666665</v>
      </c>
      <c r="D118" s="11">
        <f t="shared" si="6"/>
        <v>-534.66666666666652</v>
      </c>
      <c r="E118" s="11">
        <v>-365.34809027777783</v>
      </c>
      <c r="F118" s="11">
        <f t="shared" si="7"/>
        <v>-169.31857638888869</v>
      </c>
      <c r="G118" s="11">
        <f t="shared" si="8"/>
        <v>3215.3480902777778</v>
      </c>
    </row>
    <row r="119" spans="1:14" x14ac:dyDescent="0.35">
      <c r="A119" s="6" t="s">
        <v>43</v>
      </c>
      <c r="B119" s="7">
        <f t="shared" si="10"/>
        <v>2555</v>
      </c>
      <c r="C119" s="9">
        <f t="shared" si="10"/>
        <v>3433.5416666666665</v>
      </c>
      <c r="D119" s="11">
        <f t="shared" si="6"/>
        <v>-878.54166666666652</v>
      </c>
      <c r="E119" s="11">
        <v>-339.5668402777776</v>
      </c>
      <c r="F119" s="11">
        <f t="shared" si="7"/>
        <v>-538.97482638888891</v>
      </c>
      <c r="G119" s="11">
        <f t="shared" si="8"/>
        <v>2894.5668402777774</v>
      </c>
    </row>
    <row r="120" spans="1:14" x14ac:dyDescent="0.35">
      <c r="A120" s="6" t="s">
        <v>44</v>
      </c>
      <c r="B120" s="7">
        <f t="shared" si="10"/>
        <v>3346</v>
      </c>
      <c r="C120" s="9">
        <f t="shared" si="10"/>
        <v>3481.2916666666665</v>
      </c>
      <c r="D120" s="11">
        <f t="shared" si="6"/>
        <v>-135.29166666666652</v>
      </c>
      <c r="E120" s="11">
        <v>101.37065972222229</v>
      </c>
      <c r="F120" s="11">
        <f t="shared" si="7"/>
        <v>-236.6623263888888</v>
      </c>
      <c r="G120" s="11">
        <f t="shared" si="8"/>
        <v>3244.6293402777778</v>
      </c>
    </row>
    <row r="121" spans="1:14" x14ac:dyDescent="0.35">
      <c r="A121" s="6" t="s">
        <v>45</v>
      </c>
      <c r="B121" s="7">
        <f t="shared" si="10"/>
        <v>4004</v>
      </c>
      <c r="C121" s="9">
        <f t="shared" si="10"/>
        <v>3514.8333333333335</v>
      </c>
      <c r="D121" s="11">
        <f t="shared" si="6"/>
        <v>489.16666666666652</v>
      </c>
      <c r="E121" s="11">
        <v>282.49565972222217</v>
      </c>
      <c r="F121" s="11">
        <f t="shared" si="7"/>
        <v>206.67100694444434</v>
      </c>
      <c r="G121" s="11">
        <f t="shared" si="8"/>
        <v>3721.5043402777778</v>
      </c>
    </row>
    <row r="122" spans="1:14" x14ac:dyDescent="0.35">
      <c r="A122" s="6" t="s">
        <v>46</v>
      </c>
      <c r="B122" s="7">
        <f t="shared" si="10"/>
        <v>4078</v>
      </c>
      <c r="C122" s="9">
        <f t="shared" si="10"/>
        <v>3549.875</v>
      </c>
      <c r="D122" s="11">
        <f t="shared" si="6"/>
        <v>528.125</v>
      </c>
      <c r="E122" s="11">
        <v>366.9435763888888</v>
      </c>
      <c r="F122" s="11">
        <f t="shared" si="7"/>
        <v>161.1814236111112</v>
      </c>
      <c r="G122" s="11">
        <f t="shared" si="8"/>
        <v>3711.0564236111113</v>
      </c>
    </row>
    <row r="123" spans="1:14" x14ac:dyDescent="0.35">
      <c r="A123" s="6" t="s">
        <v>47</v>
      </c>
      <c r="B123" s="7">
        <f t="shared" si="10"/>
        <v>4199</v>
      </c>
      <c r="C123" s="9">
        <f t="shared" si="10"/>
        <v>3567.7083333333335</v>
      </c>
      <c r="D123" s="11">
        <f t="shared" si="6"/>
        <v>631.29166666666652</v>
      </c>
      <c r="E123" s="11">
        <v>326.52690972222217</v>
      </c>
      <c r="F123" s="11">
        <f t="shared" si="7"/>
        <v>304.76475694444434</v>
      </c>
      <c r="G123" s="11">
        <f t="shared" si="8"/>
        <v>3872.4730902777778</v>
      </c>
    </row>
    <row r="124" spans="1:14" x14ac:dyDescent="0.35">
      <c r="A124" s="6" t="s">
        <v>48</v>
      </c>
      <c r="B124" s="7">
        <f t="shared" si="10"/>
        <v>4053</v>
      </c>
      <c r="C124" s="9">
        <f t="shared" si="10"/>
        <v>3590.6666666666665</v>
      </c>
      <c r="D124" s="11">
        <f t="shared" si="6"/>
        <v>462.33333333333348</v>
      </c>
      <c r="E124" s="11">
        <v>323.65190972222217</v>
      </c>
      <c r="F124" s="11">
        <f t="shared" si="7"/>
        <v>138.68142361111131</v>
      </c>
      <c r="G124" s="11">
        <f t="shared" si="8"/>
        <v>3729.3480902777778</v>
      </c>
    </row>
    <row r="125" spans="1:14" x14ac:dyDescent="0.35">
      <c r="A125" s="6" t="s">
        <v>49</v>
      </c>
      <c r="B125" s="7">
        <f t="shared" si="10"/>
        <v>4169</v>
      </c>
      <c r="C125" s="9">
        <f t="shared" si="10"/>
        <v>3672.125</v>
      </c>
      <c r="D125" s="11">
        <f t="shared" si="6"/>
        <v>496.875</v>
      </c>
      <c r="E125" s="11">
        <v>367.17274305555554</v>
      </c>
      <c r="F125" s="11">
        <f t="shared" si="7"/>
        <v>129.70225694444446</v>
      </c>
      <c r="G125" s="11">
        <f t="shared" si="8"/>
        <v>3801.8272569444443</v>
      </c>
    </row>
    <row r="126" spans="1:14" x14ac:dyDescent="0.35">
      <c r="A126" s="6" t="s">
        <v>50</v>
      </c>
      <c r="B126" s="7">
        <f t="shared" si="10"/>
        <v>3757</v>
      </c>
      <c r="C126" s="9">
        <f t="shared" si="10"/>
        <v>3758.1666666666665</v>
      </c>
      <c r="D126" s="11">
        <f t="shared" si="6"/>
        <v>-1.1666666666665151</v>
      </c>
      <c r="E126" s="11">
        <v>35.506076388889028</v>
      </c>
      <c r="F126" s="11">
        <f t="shared" si="7"/>
        <v>-36.672743055555543</v>
      </c>
      <c r="G126" s="11">
        <f t="shared" si="8"/>
        <v>3721.4939236111109</v>
      </c>
    </row>
    <row r="127" spans="1:14" x14ac:dyDescent="0.35">
      <c r="A127" s="6" t="s">
        <v>51</v>
      </c>
      <c r="B127" s="7">
        <f t="shared" si="10"/>
        <v>3550</v>
      </c>
      <c r="C127" s="9">
        <f t="shared" si="10"/>
        <v>3793.7916666666665</v>
      </c>
      <c r="D127" s="11">
        <f t="shared" si="6"/>
        <v>-243.79166666666652</v>
      </c>
      <c r="E127" s="11">
        <v>-62.754340277777828</v>
      </c>
      <c r="F127" s="11">
        <f t="shared" si="7"/>
        <v>-181.03732638888869</v>
      </c>
      <c r="G127" s="11">
        <f t="shared" si="8"/>
        <v>3612.7543402777778</v>
      </c>
    </row>
    <row r="128" spans="1:14" x14ac:dyDescent="0.35">
      <c r="A128" s="6" t="s">
        <v>52</v>
      </c>
      <c r="B128" s="7">
        <f t="shared" si="10"/>
        <v>3414</v>
      </c>
      <c r="C128" s="9">
        <f t="shared" si="10"/>
        <v>3804.8333333333335</v>
      </c>
      <c r="D128" s="11">
        <f t="shared" si="6"/>
        <v>-390.83333333333348</v>
      </c>
      <c r="E128" s="11" cm="1">
        <f t="array" ref="E128:E139">TRANSPOSE(B$74:M$74)</f>
        <v>-345.22309027777783</v>
      </c>
      <c r="F128" s="11">
        <f t="shared" si="7"/>
        <v>-45.610243055555657</v>
      </c>
      <c r="G128" s="11">
        <f t="shared" si="8"/>
        <v>3759.2230902777778</v>
      </c>
    </row>
    <row r="129" spans="1:7" x14ac:dyDescent="0.35">
      <c r="A129" s="6" t="s">
        <v>53</v>
      </c>
      <c r="B129" s="7">
        <f t="shared" ref="B129:D139" si="11">B52</f>
        <v>2792</v>
      </c>
      <c r="C129" s="9">
        <f t="shared" si="11"/>
        <v>3816.625</v>
      </c>
      <c r="D129" s="11">
        <f t="shared" si="6"/>
        <v>-1024.625</v>
      </c>
      <c r="E129" s="11">
        <v>-690.77517361111109</v>
      </c>
      <c r="F129" s="11">
        <f t="shared" si="7"/>
        <v>-333.84982638888891</v>
      </c>
      <c r="G129" s="11">
        <f t="shared" si="8"/>
        <v>3482.7751736111113</v>
      </c>
    </row>
    <row r="130" spans="1:7" x14ac:dyDescent="0.35">
      <c r="A130" s="6" t="s">
        <v>54</v>
      </c>
      <c r="B130" s="7">
        <f t="shared" si="11"/>
        <v>3492</v>
      </c>
      <c r="C130" s="9">
        <f t="shared" si="11"/>
        <v>3830.9583333333335</v>
      </c>
      <c r="D130" s="11">
        <f t="shared" si="6"/>
        <v>-338.95833333333348</v>
      </c>
      <c r="E130" s="11">
        <v>-365.34809027777783</v>
      </c>
      <c r="F130" s="11">
        <f t="shared" si="7"/>
        <v>26.389756944444343</v>
      </c>
      <c r="G130" s="11">
        <f t="shared" si="8"/>
        <v>3857.3480902777778</v>
      </c>
    </row>
    <row r="131" spans="1:7" x14ac:dyDescent="0.35">
      <c r="A131" s="6" t="s">
        <v>55</v>
      </c>
      <c r="B131" s="7">
        <f t="shared" si="11"/>
        <v>3868</v>
      </c>
      <c r="C131" s="9">
        <f t="shared" si="11"/>
        <v>3853.2916666666665</v>
      </c>
      <c r="D131" s="11">
        <f t="shared" si="6"/>
        <v>14.708333333333485</v>
      </c>
      <c r="E131" s="11">
        <v>-339.5668402777776</v>
      </c>
      <c r="F131" s="11">
        <f t="shared" si="7"/>
        <v>354.27517361111109</v>
      </c>
      <c r="G131" s="11">
        <f t="shared" si="8"/>
        <v>4207.5668402777774</v>
      </c>
    </row>
    <row r="132" spans="1:7" x14ac:dyDescent="0.35">
      <c r="A132" s="6" t="s">
        <v>56</v>
      </c>
      <c r="B132" s="7">
        <f t="shared" si="11"/>
        <v>4098</v>
      </c>
      <c r="C132" s="9">
        <f t="shared" si="11"/>
        <v>3875.5</v>
      </c>
      <c r="D132" s="11">
        <f t="shared" si="6"/>
        <v>222.5</v>
      </c>
      <c r="E132" s="11">
        <v>101.37065972222229</v>
      </c>
      <c r="F132" s="11">
        <f t="shared" si="7"/>
        <v>121.12934027777771</v>
      </c>
      <c r="G132" s="11">
        <f t="shared" si="8"/>
        <v>3996.6293402777778</v>
      </c>
    </row>
    <row r="133" spans="1:7" x14ac:dyDescent="0.35">
      <c r="A133" s="6" t="s">
        <v>57</v>
      </c>
      <c r="B133" s="7">
        <f t="shared" si="11"/>
        <v>4107</v>
      </c>
      <c r="C133" s="9">
        <f t="shared" si="11"/>
        <v>3899.8333333333335</v>
      </c>
      <c r="D133" s="11">
        <f t="shared" si="6"/>
        <v>207.16666666666652</v>
      </c>
      <c r="E133" s="11">
        <v>282.49565972222217</v>
      </c>
      <c r="F133" s="11">
        <f t="shared" si="7"/>
        <v>-75.328993055555657</v>
      </c>
      <c r="G133" s="11">
        <f t="shared" si="8"/>
        <v>3824.5043402777778</v>
      </c>
    </row>
    <row r="134" spans="1:7" x14ac:dyDescent="0.35">
      <c r="A134" s="6" t="s">
        <v>58</v>
      </c>
      <c r="B134" s="7">
        <f t="shared" si="11"/>
        <v>4240</v>
      </c>
      <c r="C134" s="7" t="str">
        <f t="shared" si="11"/>
        <v>NA</v>
      </c>
      <c r="D134" s="11" t="str">
        <f t="shared" si="6"/>
        <v>NA</v>
      </c>
      <c r="E134" s="11">
        <v>366.9435763888888</v>
      </c>
      <c r="F134" s="11" t="str">
        <f t="shared" si="7"/>
        <v>NA</v>
      </c>
      <c r="G134" s="11">
        <f t="shared" si="8"/>
        <v>3873.0564236111113</v>
      </c>
    </row>
    <row r="135" spans="1:7" x14ac:dyDescent="0.35">
      <c r="A135" s="6" t="s">
        <v>59</v>
      </c>
      <c r="B135" s="7">
        <f t="shared" si="11"/>
        <v>4320</v>
      </c>
      <c r="C135" s="7" t="str">
        <f t="shared" si="11"/>
        <v>NA</v>
      </c>
      <c r="D135" s="11" t="str">
        <f t="shared" si="6"/>
        <v>NA</v>
      </c>
      <c r="E135" s="11">
        <v>326.52690972222217</v>
      </c>
      <c r="F135" s="11" t="str">
        <f t="shared" si="7"/>
        <v>NA</v>
      </c>
      <c r="G135" s="11">
        <f t="shared" si="8"/>
        <v>3993.4730902777778</v>
      </c>
    </row>
    <row r="136" spans="1:7" x14ac:dyDescent="0.35">
      <c r="A136" s="6" t="s">
        <v>60</v>
      </c>
      <c r="B136" s="7">
        <f t="shared" si="11"/>
        <v>4276</v>
      </c>
      <c r="C136" s="7" t="str">
        <f t="shared" si="11"/>
        <v>NA</v>
      </c>
      <c r="D136" s="11" t="str">
        <f t="shared" si="6"/>
        <v>NA</v>
      </c>
      <c r="E136" s="11">
        <v>323.65190972222217</v>
      </c>
      <c r="F136" s="11" t="str">
        <f t="shared" si="7"/>
        <v>NA</v>
      </c>
      <c r="G136" s="11">
        <f t="shared" si="8"/>
        <v>3952.3480902777778</v>
      </c>
    </row>
    <row r="137" spans="1:7" x14ac:dyDescent="0.35">
      <c r="A137" s="6" t="s">
        <v>61</v>
      </c>
      <c r="B137" s="7">
        <f t="shared" si="11"/>
        <v>4482</v>
      </c>
      <c r="C137" s="7" t="str">
        <f t="shared" si="11"/>
        <v>NA</v>
      </c>
      <c r="D137" s="11" t="str">
        <f t="shared" si="6"/>
        <v>NA</v>
      </c>
      <c r="E137" s="11">
        <v>367.17274305555554</v>
      </c>
      <c r="F137" s="11" t="str">
        <f t="shared" si="7"/>
        <v>NA</v>
      </c>
      <c r="G137" s="11">
        <f t="shared" si="8"/>
        <v>4114.8272569444443</v>
      </c>
    </row>
    <row r="138" spans="1:7" x14ac:dyDescent="0.35">
      <c r="A138" s="6" t="s">
        <v>62</v>
      </c>
      <c r="B138" s="7">
        <f t="shared" si="11"/>
        <v>3977</v>
      </c>
      <c r="C138" s="7" t="str">
        <f t="shared" si="11"/>
        <v>NA</v>
      </c>
      <c r="D138" s="11" t="str">
        <f t="shared" si="6"/>
        <v>NA</v>
      </c>
      <c r="E138" s="11">
        <v>35.506076388889028</v>
      </c>
      <c r="F138" s="11" t="str">
        <f t="shared" si="7"/>
        <v>NA</v>
      </c>
      <c r="G138" s="11">
        <f t="shared" si="8"/>
        <v>3941.4939236111109</v>
      </c>
    </row>
    <row r="139" spans="1:7" x14ac:dyDescent="0.35">
      <c r="A139" s="12" t="s">
        <v>63</v>
      </c>
      <c r="B139" s="13">
        <f t="shared" si="11"/>
        <v>3914</v>
      </c>
      <c r="C139" s="13" t="str">
        <f t="shared" si="11"/>
        <v>NA</v>
      </c>
      <c r="D139" s="11" t="str">
        <f t="shared" si="6"/>
        <v>NA</v>
      </c>
      <c r="E139" s="11">
        <v>-62.754340277777828</v>
      </c>
      <c r="F139" s="11" t="str">
        <f t="shared" si="7"/>
        <v>NA</v>
      </c>
      <c r="G139" s="11">
        <f t="shared" si="8"/>
        <v>3976.7543402777778</v>
      </c>
    </row>
  </sheetData>
  <mergeCells count="4">
    <mergeCell ref="A1:D1"/>
    <mergeCell ref="A66:M66"/>
    <mergeCell ref="N71:N72"/>
    <mergeCell ref="A78:G7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F75838E79B0E48B83E8E3F5479A3A2" ma:contentTypeVersion="9" ma:contentTypeDescription="Create a new document." ma:contentTypeScope="" ma:versionID="2b0c304636f8f537543cd13f583db9d4">
  <xsd:schema xmlns:xsd="http://www.w3.org/2001/XMLSchema" xmlns:xs="http://www.w3.org/2001/XMLSchema" xmlns:p="http://schemas.microsoft.com/office/2006/metadata/properties" xmlns:ns3="ca1cba85-b018-40b2-9d9a-243cd5b6fae5" xmlns:ns4="f1fb8133-dfcb-4ab3-83e1-bcafde3f766a" targetNamespace="http://schemas.microsoft.com/office/2006/metadata/properties" ma:root="true" ma:fieldsID="0f089f22c5ce4e61126931f7622145b2" ns3:_="" ns4:_="">
    <xsd:import namespace="ca1cba85-b018-40b2-9d9a-243cd5b6fae5"/>
    <xsd:import namespace="f1fb8133-dfcb-4ab3-83e1-bcafde3f766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1cba85-b018-40b2-9d9a-243cd5b6f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b8133-dfcb-4ab3-83e1-bcafde3f76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1cba85-b018-40b2-9d9a-243cd5b6fae5" xsi:nil="true"/>
  </documentManagement>
</p:properties>
</file>

<file path=customXml/itemProps1.xml><?xml version="1.0" encoding="utf-8"?>
<ds:datastoreItem xmlns:ds="http://schemas.openxmlformats.org/officeDocument/2006/customXml" ds:itemID="{FBDDC771-C014-4A48-9FCA-802C556EA1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1cba85-b018-40b2-9d9a-243cd5b6fae5"/>
    <ds:schemaRef ds:uri="f1fb8133-dfcb-4ab3-83e1-bcafde3f76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6E0334-A0AA-41B5-AE21-CAD1C9D107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E1B631-90B0-4D19-A35E-F8DC8BE167A4}">
  <ds:schemaRefs>
    <ds:schemaRef ds:uri="ca1cba85-b018-40b2-9d9a-243cd5b6fae5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f1fb8133-dfcb-4ab3-83e1-bcafde3f766a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Brost, Tyson</dc:creator>
  <cp:lastModifiedBy>Craig Johnson</cp:lastModifiedBy>
  <dcterms:created xsi:type="dcterms:W3CDTF">2024-09-16T15:34:20Z</dcterms:created>
  <dcterms:modified xsi:type="dcterms:W3CDTF">2026-09-24T16:10:45Z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0x01010070F75838E79B0E48B83E8E3F5479A3A2</vt:lpwstr>
  </property>
</Properties>
</file>