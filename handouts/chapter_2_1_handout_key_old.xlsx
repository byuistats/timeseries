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8_{2874B358-5006-4B26-A6A1-5814D0A41673}" xr6:coauthVersionLast="47" xr6:coauthVersionMax="47" xr10:uidLastSave="{00000000-0000-0000-0000-000000000000}"/>
  <bookViews>
    <workbookView xWindow="-110" yWindow="-110" windowWidth="25820" windowHeight="15500" xr2:uid="{CB73943A-C465-40BE-817C-B9991112161C}"/>
  </bookViews>
  <sheets>
    <sheet name="Workbook" sheetId="2" r:id="rId1"/>
    <sheet name="Ke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16" i="3"/>
  <c r="B15" i="3"/>
  <c r="B14" i="3"/>
  <c r="H9" i="3"/>
  <c r="H5" i="3"/>
  <c r="H6" i="3"/>
  <c r="H7" i="3"/>
  <c r="H8" i="3"/>
  <c r="H4" i="3"/>
  <c r="F9" i="3"/>
  <c r="G9" i="3"/>
  <c r="G5" i="3"/>
  <c r="G6" i="3"/>
  <c r="G7" i="3"/>
  <c r="G8" i="3"/>
  <c r="G4" i="3"/>
  <c r="F5" i="3"/>
  <c r="F6" i="3"/>
  <c r="F7" i="3"/>
  <c r="F8" i="3"/>
  <c r="F4" i="3"/>
  <c r="E5" i="3"/>
  <c r="E6" i="3"/>
  <c r="E7" i="3"/>
  <c r="E8" i="3"/>
  <c r="E4" i="3"/>
  <c r="E9" i="3" s="1"/>
  <c r="D9" i="3"/>
  <c r="D5" i="3"/>
  <c r="D6" i="3"/>
  <c r="D7" i="3"/>
  <c r="D8" i="3"/>
  <c r="D4" i="3"/>
  <c r="B13" i="3"/>
  <c r="B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Tyson Brost</author>
  </authors>
  <commentList>
    <comment ref="B17" authorId="0" shapeId="0" xr:uid="{68E20C95-7181-4088-AC46-C7CDC7B3D02B}">
      <text>
        <r>
          <rPr>
            <b/>
            <sz val="9"/>
            <color indexed="81"/>
            <rFont val="Tahoma"/>
            <charset val="1"/>
          </rPr>
          <t>A14*A15*A16 Should be equal to this value</t>
        </r>
      </text>
    </comment>
  </commentList>
</comments>
</file>

<file path=xl/sharedStrings.xml><?xml version="1.0" encoding="utf-8"?>
<sst xmlns="http://schemas.openxmlformats.org/spreadsheetml/2006/main" count="44" uniqueCount="5">
  <si>
    <t>sum</t>
  </si>
  <si>
    <t>t</t>
  </si>
  <si>
    <t xml:space="preserve">
</t>
  </si>
  <si>
    <t>Table 3: Computational Practice</t>
  </si>
  <si>
    <t>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</si>
</sst>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rgb="FF000000"/>
      <name val="Source Sans Pro"/>
      <family val="2"/>
    </font>
    <font>
      <sz val="16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 style="thin">
        <color theme="1"/>
      </bottom>
      <diagonal/>
    </border>
    <border>
      <left style="thin">
        <color theme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/>
      <bottom style="thin">
        <color theme="0" tint="-0.1499984740745262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2" borderId="12" xfId="0" applyFill="1" applyBorder="1"/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1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10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601980</xdr:colOff>
      <xdr:row>10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348774</xdr:colOff>
      <xdr:row>1</xdr:row>
      <xdr:rowOff>45593</xdr:rowOff>
    </xdr:from>
    <xdr:ext cx="197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94694" y="662813"/>
              <a:ext cx="197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94694" y="662813"/>
              <a:ext cx="197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1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1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1</xdr:row>
      <xdr:rowOff>53213</xdr:rowOff>
    </xdr:from>
    <xdr:ext cx="514756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66394" y="670433"/>
              <a:ext cx="514756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66394" y="670433"/>
              <a:ext cx="514756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𝑦_𝑡−𝑦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120174</xdr:colOff>
      <xdr:row>1</xdr:row>
      <xdr:rowOff>68453</xdr:rowOff>
    </xdr:from>
    <xdr:ext cx="667299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13154" y="685673"/>
              <a:ext cx="667299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13154" y="685673"/>
              <a:ext cx="667299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〖(𝑦〗_𝑡−𝑦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7</xdr:col>
      <xdr:colOff>30480</xdr:colOff>
      <xdr:row>1</xdr:row>
      <xdr:rowOff>60960</xdr:rowOff>
    </xdr:from>
    <xdr:ext cx="1210395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ED34AB7-E350-49CF-AE3B-AB623288E23A}"/>
                </a:ext>
              </a:extLst>
            </xdr:cNvPr>
            <xdr:cNvSpPr txBox="1"/>
          </xdr:nvSpPr>
          <xdr:spPr>
            <a:xfrm>
              <a:off x="5646420" y="678180"/>
              <a:ext cx="1210395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)(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ED34AB7-E350-49CF-AE3B-AB623288E23A}"/>
                </a:ext>
              </a:extLst>
            </xdr:cNvPr>
            <xdr:cNvSpPr txBox="1"/>
          </xdr:nvSpPr>
          <xdr:spPr>
            <a:xfrm>
              <a:off x="5646420" y="678180"/>
              <a:ext cx="1210395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̅)(𝑦_𝑡−𝑦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364014</xdr:colOff>
      <xdr:row>11</xdr:row>
      <xdr:rowOff>68453</xdr:rowOff>
    </xdr:from>
    <xdr:ext cx="13458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6C29F59-DCD5-4797-B8B3-DDF06AB0406E}"/>
                </a:ext>
              </a:extLst>
            </xdr:cNvPr>
            <xdr:cNvSpPr txBox="1"/>
          </xdr:nvSpPr>
          <xdr:spPr>
            <a:xfrm>
              <a:off x="364014" y="2697353"/>
              <a:ext cx="13458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6C29F59-DCD5-4797-B8B3-DDF06AB0406E}"/>
                </a:ext>
              </a:extLst>
            </xdr:cNvPr>
            <xdr:cNvSpPr txBox="1"/>
          </xdr:nvSpPr>
          <xdr:spPr>
            <a:xfrm>
              <a:off x="364014" y="2697353"/>
              <a:ext cx="13458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356394</xdr:colOff>
      <xdr:row>12</xdr:row>
      <xdr:rowOff>60833</xdr:rowOff>
    </xdr:from>
    <xdr:ext cx="13715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EF39F5C-4BB2-49EF-9801-18E77CE576A3}"/>
                </a:ext>
              </a:extLst>
            </xdr:cNvPr>
            <xdr:cNvSpPr txBox="1"/>
          </xdr:nvSpPr>
          <xdr:spPr>
            <a:xfrm>
              <a:off x="356394" y="3070733"/>
              <a:ext cx="1371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EF39F5C-4BB2-49EF-9801-18E77CE576A3}"/>
                </a:ext>
              </a:extLst>
            </xdr:cNvPr>
            <xdr:cNvSpPr txBox="1"/>
          </xdr:nvSpPr>
          <xdr:spPr>
            <a:xfrm>
              <a:off x="356394" y="3070733"/>
              <a:ext cx="1371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318294</xdr:colOff>
      <xdr:row>13</xdr:row>
      <xdr:rowOff>60833</xdr:rowOff>
    </xdr:from>
    <xdr:ext cx="19704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AFA83FA-3727-44FA-916E-ACEFDD477EAF}"/>
                </a:ext>
              </a:extLst>
            </xdr:cNvPr>
            <xdr:cNvSpPr txBox="1"/>
          </xdr:nvSpPr>
          <xdr:spPr>
            <a:xfrm>
              <a:off x="318294" y="3451733"/>
              <a:ext cx="19704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AFA83FA-3727-44FA-916E-ACEFDD477EAF}"/>
                </a:ext>
              </a:extLst>
            </xdr:cNvPr>
            <xdr:cNvSpPr txBox="1"/>
          </xdr:nvSpPr>
          <xdr:spPr>
            <a:xfrm>
              <a:off x="318294" y="3451733"/>
              <a:ext cx="19704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𝑠_𝑥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303054</xdr:colOff>
      <xdr:row>14</xdr:row>
      <xdr:rowOff>45593</xdr:rowOff>
    </xdr:from>
    <xdr:ext cx="202235" cy="2324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A1F86D4-4B69-4B0A-BF26-F7FE17707A17}"/>
                </a:ext>
              </a:extLst>
            </xdr:cNvPr>
            <xdr:cNvSpPr txBox="1"/>
          </xdr:nvSpPr>
          <xdr:spPr>
            <a:xfrm>
              <a:off x="303054" y="3817493"/>
              <a:ext cx="202235" cy="2324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A1F86D4-4B69-4B0A-BF26-F7FE17707A17}"/>
                </a:ext>
              </a:extLst>
            </xdr:cNvPr>
            <xdr:cNvSpPr txBox="1"/>
          </xdr:nvSpPr>
          <xdr:spPr>
            <a:xfrm>
              <a:off x="303054" y="3817493"/>
              <a:ext cx="202235" cy="2324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𝑠_𝑦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310674</xdr:colOff>
      <xdr:row>15</xdr:row>
      <xdr:rowOff>68453</xdr:rowOff>
    </xdr:from>
    <xdr:ext cx="12298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E53417C-99A2-45AC-9373-455919E17563}"/>
                </a:ext>
              </a:extLst>
            </xdr:cNvPr>
            <xdr:cNvSpPr txBox="1"/>
          </xdr:nvSpPr>
          <xdr:spPr>
            <a:xfrm>
              <a:off x="310674" y="4221353"/>
              <a:ext cx="12298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𝑟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E53417C-99A2-45AC-9373-455919E17563}"/>
                </a:ext>
              </a:extLst>
            </xdr:cNvPr>
            <xdr:cNvSpPr txBox="1"/>
          </xdr:nvSpPr>
          <xdr:spPr>
            <a:xfrm>
              <a:off x="310674" y="4221353"/>
              <a:ext cx="12298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𝑟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74454</xdr:colOff>
      <xdr:row>16</xdr:row>
      <xdr:rowOff>68453</xdr:rowOff>
    </xdr:from>
    <xdr:ext cx="7350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EE6C9C3-9BA8-46C7-A334-2852E222C420}"/>
                </a:ext>
              </a:extLst>
            </xdr:cNvPr>
            <xdr:cNvSpPr txBox="1"/>
          </xdr:nvSpPr>
          <xdr:spPr>
            <a:xfrm>
              <a:off x="74454" y="4602353"/>
              <a:ext cx="7350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𝑐𝑜𝑣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EE6C9C3-9BA8-46C7-A334-2852E222C420}"/>
                </a:ext>
              </a:extLst>
            </xdr:cNvPr>
            <xdr:cNvSpPr txBox="1"/>
          </xdr:nvSpPr>
          <xdr:spPr>
            <a:xfrm>
              <a:off x="74454" y="4602353"/>
              <a:ext cx="7350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𝑐𝑜𝑣(𝑥,𝑦)</a:t>
              </a:r>
              <a:endParaRPr lang="en-US" sz="14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6C551A-D372-4F02-8403-7270A876F06E}"/>
            </a:ext>
          </a:extLst>
        </xdr:cNvPr>
        <xdr:cNvSpPr txBox="1"/>
      </xdr:nvSpPr>
      <xdr:spPr>
        <a:xfrm>
          <a:off x="228600" y="2446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3C0EE3B-CFC2-4D27-8C80-101FFD7F4A96}"/>
                </a:ext>
              </a:extLst>
            </xdr:cNvPr>
            <xdr:cNvSpPr txBox="1"/>
          </xdr:nvSpPr>
          <xdr:spPr>
            <a:xfrm>
              <a:off x="113363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3C0EE3B-CFC2-4D27-8C80-101FFD7F4A96}"/>
                </a:ext>
              </a:extLst>
            </xdr:cNvPr>
            <xdr:cNvSpPr txBox="1"/>
          </xdr:nvSpPr>
          <xdr:spPr>
            <a:xfrm>
              <a:off x="113363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C15404-0F58-4033-A65B-80B64DF26561}"/>
            </a:ext>
          </a:extLst>
        </xdr:cNvPr>
        <xdr:cNvSpPr txBox="1"/>
      </xdr:nvSpPr>
      <xdr:spPr>
        <a:xfrm>
          <a:off x="228600" y="2446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601980</xdr:colOff>
      <xdr:row>10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49C659-87AD-4AF8-B7F3-405CE83CF4C8}"/>
            </a:ext>
          </a:extLst>
        </xdr:cNvPr>
        <xdr:cNvSpPr txBox="1"/>
      </xdr:nvSpPr>
      <xdr:spPr>
        <a:xfrm>
          <a:off x="5387340" y="2446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348774</xdr:colOff>
      <xdr:row>1</xdr:row>
      <xdr:rowOff>45593</xdr:rowOff>
    </xdr:from>
    <xdr:ext cx="197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1CA2433-93C5-4266-8191-711DF93C45BA}"/>
                </a:ext>
              </a:extLst>
            </xdr:cNvPr>
            <xdr:cNvSpPr txBox="1"/>
          </xdr:nvSpPr>
          <xdr:spPr>
            <a:xfrm>
              <a:off x="1987074" y="662813"/>
              <a:ext cx="197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1CA2433-93C5-4266-8191-711DF93C45BA}"/>
                </a:ext>
              </a:extLst>
            </xdr:cNvPr>
            <xdr:cNvSpPr txBox="1"/>
          </xdr:nvSpPr>
          <xdr:spPr>
            <a:xfrm>
              <a:off x="1987074" y="662813"/>
              <a:ext cx="197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1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AAD11D9-58F7-4FB5-AD4C-5B6C7F1EC147}"/>
                </a:ext>
              </a:extLst>
            </xdr:cNvPr>
            <xdr:cNvSpPr txBox="1"/>
          </xdr:nvSpPr>
          <xdr:spPr>
            <a:xfrm>
              <a:off x="256619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AAD11D9-58F7-4FB5-AD4C-5B6C7F1EC147}"/>
                </a:ext>
              </a:extLst>
            </xdr:cNvPr>
            <xdr:cNvSpPr txBox="1"/>
          </xdr:nvSpPr>
          <xdr:spPr>
            <a:xfrm>
              <a:off x="256619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1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56C1529-0980-46AB-AC06-C33885EF3B75}"/>
                </a:ext>
              </a:extLst>
            </xdr:cNvPr>
            <xdr:cNvSpPr txBox="1"/>
          </xdr:nvSpPr>
          <xdr:spPr>
            <a:xfrm>
              <a:off x="333581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56C1529-0980-46AB-AC06-C33885EF3B75}"/>
                </a:ext>
              </a:extLst>
            </xdr:cNvPr>
            <xdr:cNvSpPr txBox="1"/>
          </xdr:nvSpPr>
          <xdr:spPr>
            <a:xfrm>
              <a:off x="333581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1</xdr:row>
      <xdr:rowOff>53213</xdr:rowOff>
    </xdr:from>
    <xdr:ext cx="514756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A77A171-0E89-4B06-A091-F79593F8BCA4}"/>
                </a:ext>
              </a:extLst>
            </xdr:cNvPr>
            <xdr:cNvSpPr txBox="1"/>
          </xdr:nvSpPr>
          <xdr:spPr>
            <a:xfrm>
              <a:off x="4158774" y="670433"/>
              <a:ext cx="514756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A77A171-0E89-4B06-A091-F79593F8BCA4}"/>
                </a:ext>
              </a:extLst>
            </xdr:cNvPr>
            <xdr:cNvSpPr txBox="1"/>
          </xdr:nvSpPr>
          <xdr:spPr>
            <a:xfrm>
              <a:off x="4158774" y="670433"/>
              <a:ext cx="514756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𝑦_𝑡−𝑦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120174</xdr:colOff>
      <xdr:row>1</xdr:row>
      <xdr:rowOff>68453</xdr:rowOff>
    </xdr:from>
    <xdr:ext cx="667299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EB0D7A8-3670-4C04-A75C-5C82178D23C0}"/>
                </a:ext>
              </a:extLst>
            </xdr:cNvPr>
            <xdr:cNvSpPr txBox="1"/>
          </xdr:nvSpPr>
          <xdr:spPr>
            <a:xfrm>
              <a:off x="4905534" y="685673"/>
              <a:ext cx="667299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EB0D7A8-3670-4C04-A75C-5C82178D23C0}"/>
                </a:ext>
              </a:extLst>
            </xdr:cNvPr>
            <xdr:cNvSpPr txBox="1"/>
          </xdr:nvSpPr>
          <xdr:spPr>
            <a:xfrm>
              <a:off x="4905534" y="685673"/>
              <a:ext cx="667299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〖(𝑦〗_𝑡−𝑦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7</xdr:col>
      <xdr:colOff>30480</xdr:colOff>
      <xdr:row>1</xdr:row>
      <xdr:rowOff>60960</xdr:rowOff>
    </xdr:from>
    <xdr:ext cx="1210395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1F48567-CB30-45F9-B6FF-1D4673FE57CD}"/>
                </a:ext>
              </a:extLst>
            </xdr:cNvPr>
            <xdr:cNvSpPr txBox="1"/>
          </xdr:nvSpPr>
          <xdr:spPr>
            <a:xfrm>
              <a:off x="5638800" y="678180"/>
              <a:ext cx="1210395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)(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1F48567-CB30-45F9-B6FF-1D4673FE57CD}"/>
                </a:ext>
              </a:extLst>
            </xdr:cNvPr>
            <xdr:cNvSpPr txBox="1"/>
          </xdr:nvSpPr>
          <xdr:spPr>
            <a:xfrm>
              <a:off x="5638800" y="678180"/>
              <a:ext cx="1210395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̅)(𝑦_𝑡−𝑦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364014</xdr:colOff>
      <xdr:row>11</xdr:row>
      <xdr:rowOff>68453</xdr:rowOff>
    </xdr:from>
    <xdr:ext cx="13458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C063611-FEB9-40C4-8D13-C94A35CC01EF}"/>
                </a:ext>
              </a:extLst>
            </xdr:cNvPr>
            <xdr:cNvSpPr txBox="1"/>
          </xdr:nvSpPr>
          <xdr:spPr>
            <a:xfrm>
              <a:off x="364014" y="2697353"/>
              <a:ext cx="13458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C063611-FEB9-40C4-8D13-C94A35CC01EF}"/>
                </a:ext>
              </a:extLst>
            </xdr:cNvPr>
            <xdr:cNvSpPr txBox="1"/>
          </xdr:nvSpPr>
          <xdr:spPr>
            <a:xfrm>
              <a:off x="364014" y="2697353"/>
              <a:ext cx="13458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356394</xdr:colOff>
      <xdr:row>12</xdr:row>
      <xdr:rowOff>60833</xdr:rowOff>
    </xdr:from>
    <xdr:ext cx="13715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FB953FA-AE33-4B2B-8F6A-49DF062EF87E}"/>
                </a:ext>
              </a:extLst>
            </xdr:cNvPr>
            <xdr:cNvSpPr txBox="1"/>
          </xdr:nvSpPr>
          <xdr:spPr>
            <a:xfrm>
              <a:off x="356394" y="3070733"/>
              <a:ext cx="1371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FB953FA-AE33-4B2B-8F6A-49DF062EF87E}"/>
                </a:ext>
              </a:extLst>
            </xdr:cNvPr>
            <xdr:cNvSpPr txBox="1"/>
          </xdr:nvSpPr>
          <xdr:spPr>
            <a:xfrm>
              <a:off x="356394" y="3070733"/>
              <a:ext cx="1371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318294</xdr:colOff>
      <xdr:row>13</xdr:row>
      <xdr:rowOff>60833</xdr:rowOff>
    </xdr:from>
    <xdr:ext cx="19704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BCDE838-4138-4F2C-A348-49B5B1BFFA1F}"/>
                </a:ext>
              </a:extLst>
            </xdr:cNvPr>
            <xdr:cNvSpPr txBox="1"/>
          </xdr:nvSpPr>
          <xdr:spPr>
            <a:xfrm>
              <a:off x="318294" y="3451733"/>
              <a:ext cx="19704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BCDE838-4138-4F2C-A348-49B5B1BFFA1F}"/>
                </a:ext>
              </a:extLst>
            </xdr:cNvPr>
            <xdr:cNvSpPr txBox="1"/>
          </xdr:nvSpPr>
          <xdr:spPr>
            <a:xfrm>
              <a:off x="318294" y="3451733"/>
              <a:ext cx="19704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𝑠_𝑥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303054</xdr:colOff>
      <xdr:row>14</xdr:row>
      <xdr:rowOff>45593</xdr:rowOff>
    </xdr:from>
    <xdr:ext cx="202235" cy="2324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1942D03-B629-44E1-AA82-AA92B6920786}"/>
                </a:ext>
              </a:extLst>
            </xdr:cNvPr>
            <xdr:cNvSpPr txBox="1"/>
          </xdr:nvSpPr>
          <xdr:spPr>
            <a:xfrm>
              <a:off x="303054" y="3817493"/>
              <a:ext cx="202235" cy="2324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1942D03-B629-44E1-AA82-AA92B6920786}"/>
                </a:ext>
              </a:extLst>
            </xdr:cNvPr>
            <xdr:cNvSpPr txBox="1"/>
          </xdr:nvSpPr>
          <xdr:spPr>
            <a:xfrm>
              <a:off x="303054" y="3817493"/>
              <a:ext cx="202235" cy="2324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𝑠_𝑦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310674</xdr:colOff>
      <xdr:row>15</xdr:row>
      <xdr:rowOff>68453</xdr:rowOff>
    </xdr:from>
    <xdr:ext cx="12298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D31BE9B-C76C-40FC-9462-5865DBD48EF0}"/>
                </a:ext>
              </a:extLst>
            </xdr:cNvPr>
            <xdr:cNvSpPr txBox="1"/>
          </xdr:nvSpPr>
          <xdr:spPr>
            <a:xfrm>
              <a:off x="310674" y="4221353"/>
              <a:ext cx="12298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𝑟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D31BE9B-C76C-40FC-9462-5865DBD48EF0}"/>
                </a:ext>
              </a:extLst>
            </xdr:cNvPr>
            <xdr:cNvSpPr txBox="1"/>
          </xdr:nvSpPr>
          <xdr:spPr>
            <a:xfrm>
              <a:off x="310674" y="4221353"/>
              <a:ext cx="12298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𝑟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74454</xdr:colOff>
      <xdr:row>16</xdr:row>
      <xdr:rowOff>68453</xdr:rowOff>
    </xdr:from>
    <xdr:ext cx="7350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DF1A50B-960D-4B0D-BAFB-AE749C5BEC73}"/>
                </a:ext>
              </a:extLst>
            </xdr:cNvPr>
            <xdr:cNvSpPr txBox="1"/>
          </xdr:nvSpPr>
          <xdr:spPr>
            <a:xfrm>
              <a:off x="74454" y="4602353"/>
              <a:ext cx="7350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𝑐𝑜𝑣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DF1A50B-960D-4B0D-BAFB-AE749C5BEC73}"/>
                </a:ext>
              </a:extLst>
            </xdr:cNvPr>
            <xdr:cNvSpPr txBox="1"/>
          </xdr:nvSpPr>
          <xdr:spPr>
            <a:xfrm>
              <a:off x="74454" y="4602353"/>
              <a:ext cx="7350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𝑐𝑜𝑣(𝑥,𝑦)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H17"/>
  <sheetViews>
    <sheetView tabSelected="1" workbookViewId="0">
      <selection activeCell="F18" sqref="F18"/>
    </sheetView>
  </sheetViews>
  <sheetFormatPr defaultRowHeight="14.5" x14ac:dyDescent="0.35"/>
  <cols>
    <col min="1" max="1" width="11.90625" customWidth="1"/>
    <col min="2" max="2" width="12" customWidth="1"/>
    <col min="3" max="3" width="12.1796875" bestFit="1" customWidth="1"/>
    <col min="4" max="6" width="11.1796875" bestFit="1" customWidth="1"/>
    <col min="7" max="7" width="12" customWidth="1"/>
    <col min="8" max="8" width="18.1796875" customWidth="1"/>
    <col min="14" max="14" width="9.6328125" customWidth="1"/>
  </cols>
  <sheetData>
    <row r="1" spans="1:8" ht="48.65" customHeight="1" x14ac:dyDescent="0.35">
      <c r="A1" s="26" t="s">
        <v>3</v>
      </c>
      <c r="B1" s="27"/>
      <c r="C1" s="27"/>
      <c r="D1" s="27"/>
      <c r="E1" s="27"/>
      <c r="F1" s="27"/>
      <c r="G1" s="27"/>
      <c r="H1" s="28"/>
    </row>
    <row r="2" spans="1:8" ht="29" x14ac:dyDescent="0.35">
      <c r="A2" s="11" t="s">
        <v>1</v>
      </c>
      <c r="B2" s="12" t="s">
        <v>2</v>
      </c>
      <c r="C2" s="13"/>
      <c r="D2" s="13"/>
      <c r="E2" s="14"/>
      <c r="F2" s="14"/>
      <c r="G2" s="14"/>
      <c r="H2" s="15"/>
    </row>
    <row r="3" spans="1:8" x14ac:dyDescent="0.35">
      <c r="A3" s="8">
        <v>1</v>
      </c>
      <c r="B3" s="9">
        <v>-2.1</v>
      </c>
      <c r="C3" s="9">
        <v>2.8</v>
      </c>
      <c r="D3" s="9">
        <v>-1.9</v>
      </c>
      <c r="E3" s="9">
        <v>3.61</v>
      </c>
      <c r="F3" s="9">
        <v>1</v>
      </c>
      <c r="G3" s="9">
        <v>1</v>
      </c>
      <c r="H3" s="10">
        <v>-1.9</v>
      </c>
    </row>
    <row r="4" spans="1:8" x14ac:dyDescent="0.35">
      <c r="A4" s="3">
        <v>2</v>
      </c>
      <c r="B4" s="2">
        <v>-0.2</v>
      </c>
      <c r="C4" s="2">
        <v>2.2000000000000002</v>
      </c>
      <c r="D4" s="2" t="s">
        <v>4</v>
      </c>
      <c r="E4" s="2" t="s">
        <v>4</v>
      </c>
      <c r="F4" s="2" t="s">
        <v>4</v>
      </c>
      <c r="G4" s="2" t="s">
        <v>4</v>
      </c>
      <c r="H4" s="4" t="s">
        <v>4</v>
      </c>
    </row>
    <row r="5" spans="1:8" x14ac:dyDescent="0.35">
      <c r="A5" s="3">
        <v>3</v>
      </c>
      <c r="B5" s="2">
        <v>0.8</v>
      </c>
      <c r="C5" s="2">
        <v>0.9</v>
      </c>
      <c r="D5" s="2" t="s">
        <v>4</v>
      </c>
      <c r="E5" s="2" t="s">
        <v>4</v>
      </c>
      <c r="F5" s="2" t="s">
        <v>4</v>
      </c>
      <c r="G5" s="2" t="s">
        <v>4</v>
      </c>
      <c r="H5" s="4" t="s">
        <v>4</v>
      </c>
    </row>
    <row r="6" spans="1:8" x14ac:dyDescent="0.35">
      <c r="A6" s="3">
        <v>4</v>
      </c>
      <c r="B6" s="2">
        <v>0.4</v>
      </c>
      <c r="C6" s="2">
        <v>2</v>
      </c>
      <c r="D6" s="2" t="s">
        <v>4</v>
      </c>
      <c r="E6" s="2" t="s">
        <v>4</v>
      </c>
      <c r="F6" s="2" t="s">
        <v>4</v>
      </c>
      <c r="G6" s="2" t="s">
        <v>4</v>
      </c>
      <c r="H6" s="4" t="s">
        <v>4</v>
      </c>
    </row>
    <row r="7" spans="1:8" x14ac:dyDescent="0.35">
      <c r="A7" s="3">
        <v>5</v>
      </c>
      <c r="B7" s="2">
        <v>2.2999999999999998</v>
      </c>
      <c r="C7" s="2">
        <v>-1</v>
      </c>
      <c r="D7" s="2" t="s">
        <v>4</v>
      </c>
      <c r="E7" s="2" t="s">
        <v>4</v>
      </c>
      <c r="F7" s="2" t="s">
        <v>4</v>
      </c>
      <c r="G7" s="2" t="s">
        <v>4</v>
      </c>
      <c r="H7" s="4" t="s">
        <v>4</v>
      </c>
    </row>
    <row r="8" spans="1:8" x14ac:dyDescent="0.35">
      <c r="A8" s="3">
        <v>6</v>
      </c>
      <c r="B8" s="2">
        <v>-2.4</v>
      </c>
      <c r="C8" s="2">
        <v>3.9</v>
      </c>
      <c r="D8" s="2" t="s">
        <v>4</v>
      </c>
      <c r="E8" s="2" t="s">
        <v>4</v>
      </c>
      <c r="F8" s="2" t="s">
        <v>4</v>
      </c>
      <c r="G8" s="2" t="s">
        <v>4</v>
      </c>
      <c r="H8" s="4" t="s">
        <v>4</v>
      </c>
    </row>
    <row r="9" spans="1:8" x14ac:dyDescent="0.35">
      <c r="A9" s="5" t="s">
        <v>0</v>
      </c>
      <c r="B9" s="6">
        <v>-1.2</v>
      </c>
      <c r="C9" s="6">
        <v>10.8</v>
      </c>
      <c r="D9" s="6" t="s">
        <v>4</v>
      </c>
      <c r="E9" s="6" t="s">
        <v>4</v>
      </c>
      <c r="F9" s="6" t="s">
        <v>4</v>
      </c>
      <c r="G9" s="6" t="s">
        <v>4</v>
      </c>
      <c r="H9" s="22" t="s">
        <v>4</v>
      </c>
    </row>
    <row r="11" spans="1:8" x14ac:dyDescent="0.35">
      <c r="F11" s="1"/>
    </row>
    <row r="12" spans="1:8" ht="30" customHeight="1" x14ac:dyDescent="0.35">
      <c r="A12" s="16"/>
      <c r="B12" s="23" t="s">
        <v>4</v>
      </c>
    </row>
    <row r="13" spans="1:8" ht="30" customHeight="1" x14ac:dyDescent="0.35">
      <c r="A13" s="17"/>
      <c r="B13" s="24" t="s">
        <v>4</v>
      </c>
    </row>
    <row r="14" spans="1:8" ht="30" customHeight="1" x14ac:dyDescent="0.35">
      <c r="A14" s="17"/>
      <c r="B14" s="24" t="s">
        <v>4</v>
      </c>
    </row>
    <row r="15" spans="1:8" ht="30" customHeight="1" x14ac:dyDescent="0.35">
      <c r="A15" s="17"/>
      <c r="B15" s="24" t="s">
        <v>4</v>
      </c>
    </row>
    <row r="16" spans="1:8" ht="30" customHeight="1" x14ac:dyDescent="0.35">
      <c r="A16" s="17"/>
      <c r="B16" s="24" t="s">
        <v>4</v>
      </c>
    </row>
    <row r="17" spans="1:2" ht="30" customHeight="1" x14ac:dyDescent="0.35">
      <c r="A17" s="18"/>
      <c r="B17" s="25" t="s">
        <v>4</v>
      </c>
    </row>
  </sheetData>
  <mergeCells count="1">
    <mergeCell ref="A1:H1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0778-32EF-4C0E-B963-D9AE317065D6}">
  <dimension ref="A1:H17"/>
  <sheetViews>
    <sheetView workbookViewId="0">
      <selection activeCell="C12" sqref="C12"/>
    </sheetView>
  </sheetViews>
  <sheetFormatPr defaultRowHeight="14.5" x14ac:dyDescent="0.35"/>
  <cols>
    <col min="1" max="1" width="11.90625" customWidth="1"/>
    <col min="2" max="2" width="12" customWidth="1"/>
    <col min="3" max="3" width="12.1796875" bestFit="1" customWidth="1"/>
    <col min="4" max="6" width="11.1796875" bestFit="1" customWidth="1"/>
    <col min="7" max="7" width="12" customWidth="1"/>
    <col min="8" max="8" width="18.1796875" customWidth="1"/>
    <col min="14" max="14" width="9.6328125" customWidth="1"/>
  </cols>
  <sheetData>
    <row r="1" spans="1:8" ht="48.65" customHeight="1" x14ac:dyDescent="0.35">
      <c r="A1" s="26" t="s">
        <v>3</v>
      </c>
      <c r="B1" s="27"/>
      <c r="C1" s="27"/>
      <c r="D1" s="27"/>
      <c r="E1" s="27"/>
      <c r="F1" s="27"/>
      <c r="G1" s="27"/>
      <c r="H1" s="28"/>
    </row>
    <row r="2" spans="1:8" ht="29" x14ac:dyDescent="0.35">
      <c r="A2" s="11" t="s">
        <v>1</v>
      </c>
      <c r="B2" s="12" t="s">
        <v>2</v>
      </c>
      <c r="C2" s="13"/>
      <c r="D2" s="13"/>
      <c r="E2" s="14"/>
      <c r="F2" s="14"/>
      <c r="G2" s="14"/>
      <c r="H2" s="15"/>
    </row>
    <row r="3" spans="1:8" x14ac:dyDescent="0.35">
      <c r="A3" s="8">
        <v>1</v>
      </c>
      <c r="B3" s="9">
        <v>-2.1</v>
      </c>
      <c r="C3" s="9">
        <v>2.8</v>
      </c>
      <c r="D3" s="9">
        <v>-1.9</v>
      </c>
      <c r="E3" s="9">
        <v>3.61</v>
      </c>
      <c r="F3" s="9">
        <v>1</v>
      </c>
      <c r="G3" s="9">
        <v>1</v>
      </c>
      <c r="H3" s="10">
        <v>-1.9</v>
      </c>
    </row>
    <row r="4" spans="1:8" x14ac:dyDescent="0.35">
      <c r="A4" s="3">
        <v>2</v>
      </c>
      <c r="B4" s="2">
        <v>-0.2</v>
      </c>
      <c r="C4" s="2">
        <v>2.2000000000000002</v>
      </c>
      <c r="D4" s="2">
        <f>B4-B$12</f>
        <v>0</v>
      </c>
      <c r="E4" s="2">
        <f>(C4-B$12)^2</f>
        <v>5.7600000000000016</v>
      </c>
      <c r="F4" s="2">
        <f>C4-B$13</f>
        <v>0.40000000000000013</v>
      </c>
      <c r="G4" s="2">
        <f>F4^2</f>
        <v>0.16000000000000011</v>
      </c>
      <c r="H4" s="4">
        <f>D4*F4</f>
        <v>0</v>
      </c>
    </row>
    <row r="5" spans="1:8" x14ac:dyDescent="0.35">
      <c r="A5" s="3">
        <v>3</v>
      </c>
      <c r="B5" s="2">
        <v>0.8</v>
      </c>
      <c r="C5" s="2">
        <v>0.9</v>
      </c>
      <c r="D5" s="2">
        <f t="shared" ref="D5:D8" si="0">B5-B$12</f>
        <v>1</v>
      </c>
      <c r="E5" s="2">
        <f t="shared" ref="E5:E8" si="1">(C5-B$12)^2</f>
        <v>1.2100000000000002</v>
      </c>
      <c r="F5" s="2">
        <f t="shared" ref="F5:F8" si="2">C5-B$13</f>
        <v>-0.9</v>
      </c>
      <c r="G5" s="2">
        <f t="shared" ref="G5:G8" si="3">F5^2</f>
        <v>0.81</v>
      </c>
      <c r="H5" s="4">
        <f t="shared" ref="H5:H8" si="4">D5*F5</f>
        <v>-0.9</v>
      </c>
    </row>
    <row r="6" spans="1:8" x14ac:dyDescent="0.35">
      <c r="A6" s="3">
        <v>4</v>
      </c>
      <c r="B6" s="2">
        <v>0.4</v>
      </c>
      <c r="C6" s="2">
        <v>2</v>
      </c>
      <c r="D6" s="2">
        <f t="shared" si="0"/>
        <v>0.60000000000000009</v>
      </c>
      <c r="E6" s="2">
        <f t="shared" si="1"/>
        <v>4.8400000000000007</v>
      </c>
      <c r="F6" s="2">
        <f t="shared" si="2"/>
        <v>0.19999999999999996</v>
      </c>
      <c r="G6" s="2">
        <f t="shared" si="3"/>
        <v>3.999999999999998E-2</v>
      </c>
      <c r="H6" s="4">
        <f t="shared" si="4"/>
        <v>0.12</v>
      </c>
    </row>
    <row r="7" spans="1:8" x14ac:dyDescent="0.35">
      <c r="A7" s="3">
        <v>5</v>
      </c>
      <c r="B7" s="2">
        <v>2.2999999999999998</v>
      </c>
      <c r="C7" s="2">
        <v>-1</v>
      </c>
      <c r="D7" s="2">
        <f t="shared" si="0"/>
        <v>2.5</v>
      </c>
      <c r="E7" s="2">
        <f t="shared" si="1"/>
        <v>0.6399999999999999</v>
      </c>
      <c r="F7" s="2">
        <f t="shared" si="2"/>
        <v>-2.8</v>
      </c>
      <c r="G7" s="2">
        <f t="shared" si="3"/>
        <v>7.839999999999999</v>
      </c>
      <c r="H7" s="4">
        <f t="shared" si="4"/>
        <v>-7</v>
      </c>
    </row>
    <row r="8" spans="1:8" x14ac:dyDescent="0.35">
      <c r="A8" s="3">
        <v>6</v>
      </c>
      <c r="B8" s="2">
        <v>-2.4</v>
      </c>
      <c r="C8" s="2">
        <v>3.9</v>
      </c>
      <c r="D8" s="2">
        <f t="shared" si="0"/>
        <v>-2.1999999999999997</v>
      </c>
      <c r="E8" s="2">
        <f t="shared" si="1"/>
        <v>16.809999999999999</v>
      </c>
      <c r="F8" s="2">
        <f t="shared" si="2"/>
        <v>2.0999999999999996</v>
      </c>
      <c r="G8" s="2">
        <f t="shared" si="3"/>
        <v>4.4099999999999984</v>
      </c>
      <c r="H8" s="4">
        <f t="shared" si="4"/>
        <v>-4.6199999999999983</v>
      </c>
    </row>
    <row r="9" spans="1:8" x14ac:dyDescent="0.35">
      <c r="A9" s="5" t="s">
        <v>0</v>
      </c>
      <c r="B9" s="6">
        <v>-1.2</v>
      </c>
      <c r="C9" s="6">
        <v>10.8</v>
      </c>
      <c r="D9" s="6">
        <f>SUM(D3:D8)</f>
        <v>0</v>
      </c>
      <c r="E9" s="6">
        <f>SUM(E3:E8)</f>
        <v>32.870000000000005</v>
      </c>
      <c r="F9" s="6">
        <f t="shared" ref="F9:G9" si="5">SUM(F3:F8)</f>
        <v>0</v>
      </c>
      <c r="G9" s="6">
        <f t="shared" si="5"/>
        <v>14.259999999999998</v>
      </c>
      <c r="H9" s="7">
        <f>SUM(H3:H8)</f>
        <v>-14.299999999999997</v>
      </c>
    </row>
    <row r="11" spans="1:8" x14ac:dyDescent="0.35">
      <c r="F11" s="1"/>
    </row>
    <row r="12" spans="1:8" ht="30" customHeight="1" x14ac:dyDescent="0.35">
      <c r="A12" s="16"/>
      <c r="B12" s="19">
        <f>AVERAGE(B3:B8)</f>
        <v>-0.20000000000000004</v>
      </c>
    </row>
    <row r="13" spans="1:8" ht="30" customHeight="1" x14ac:dyDescent="0.35">
      <c r="A13" s="17"/>
      <c r="B13" s="20">
        <f>AVERAGE(C3:C8)</f>
        <v>1.8</v>
      </c>
    </row>
    <row r="14" spans="1:8" ht="30" customHeight="1" x14ac:dyDescent="0.35">
      <c r="A14" s="17"/>
      <c r="B14" s="20">
        <f>SQRT(E9/5)</f>
        <v>2.5639812791828258</v>
      </c>
    </row>
    <row r="15" spans="1:8" ht="30" customHeight="1" x14ac:dyDescent="0.35">
      <c r="A15" s="17"/>
      <c r="B15" s="20">
        <f>SQRT(G9/5)</f>
        <v>1.688786546606764</v>
      </c>
    </row>
    <row r="16" spans="1:8" ht="30" customHeight="1" x14ac:dyDescent="0.35">
      <c r="A16" s="17"/>
      <c r="B16" s="20">
        <f>H9/(SQRT(E9)*SQRT(G9))</f>
        <v>-0.66050547619813516</v>
      </c>
    </row>
    <row r="17" spans="1:2" ht="30" customHeight="1" x14ac:dyDescent="0.35">
      <c r="A17" s="18"/>
      <c r="B17" s="21">
        <f>H9/5</f>
        <v>-2.8599999999999994</v>
      </c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Workbook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2026-09-29T02:37:14Z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</Properties>
</file>