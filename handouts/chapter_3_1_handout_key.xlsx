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8_{0EB5AB01-BCAD-4467-95E8-155976D7A9CF}" xr6:coauthVersionLast="47" xr6:coauthVersionMax="47" xr10:uidLastSave="{00000000-0000-0000-0000-000000000000}"/>
  <bookViews>
    <workbookView xWindow="1480" yWindow="1480" windowWidth="19200" windowHeight="11170" xr2:uid="{050B526A-FAB3-4422-A3BC-CA0FA5188BD4}"/>
  </bookViews>
  <sheets>
    <sheet name="Lesson 3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G14" i="1"/>
  <c r="M6" i="1"/>
  <c r="M7" i="1"/>
  <c r="N6" i="1"/>
  <c r="N7" i="1"/>
  <c r="N8" i="1"/>
  <c r="N11" i="1"/>
  <c r="N3" i="1"/>
  <c r="F4" i="1"/>
  <c r="F5" i="1"/>
  <c r="M5" i="1" s="1"/>
  <c r="F6" i="1"/>
  <c r="K6" i="1" s="1"/>
  <c r="F7" i="1"/>
  <c r="K7" i="1" s="1"/>
  <c r="F8" i="1"/>
  <c r="K8" i="1" s="1"/>
  <c r="F9" i="1"/>
  <c r="K9" i="1" s="1"/>
  <c r="F10" i="1"/>
  <c r="N10" i="1" s="1"/>
  <c r="F11" i="1"/>
  <c r="K11" i="1" s="1"/>
  <c r="F12" i="1"/>
  <c r="L12" i="1" s="1"/>
  <c r="F3" i="1"/>
  <c r="G3" i="1" s="1"/>
  <c r="M12" i="1" l="1"/>
  <c r="L10" i="1"/>
  <c r="J6" i="1"/>
  <c r="J7" i="1"/>
  <c r="L11" i="1"/>
  <c r="F13" i="1"/>
  <c r="J12" i="1"/>
  <c r="J11" i="1"/>
  <c r="G12" i="1"/>
  <c r="J10" i="1"/>
  <c r="G10" i="1"/>
  <c r="G4" i="1"/>
  <c r="I8" i="1"/>
  <c r="N5" i="1"/>
  <c r="L7" i="1"/>
  <c r="J9" i="1"/>
  <c r="G11" i="1"/>
  <c r="N4" i="1"/>
  <c r="L6" i="1"/>
  <c r="J8" i="1"/>
  <c r="N9" i="1"/>
  <c r="M4" i="1"/>
  <c r="G9" i="1"/>
  <c r="L4" i="1"/>
  <c r="G8" i="1"/>
  <c r="M11" i="1"/>
  <c r="K5" i="1"/>
  <c r="I12" i="1"/>
  <c r="L9" i="1"/>
  <c r="L5" i="1"/>
  <c r="I7" i="1"/>
  <c r="G7" i="1"/>
  <c r="M10" i="1"/>
  <c r="K12" i="1"/>
  <c r="I11" i="1"/>
  <c r="G6" i="1"/>
  <c r="M9" i="1"/>
  <c r="I10" i="1"/>
  <c r="L8" i="1"/>
  <c r="G5" i="1"/>
  <c r="M8" i="1"/>
  <c r="K10" i="1"/>
  <c r="I9" i="1"/>
  <c r="J13" i="1" l="1"/>
  <c r="J14" i="1" s="1"/>
  <c r="G13" i="1"/>
  <c r="N13" i="1"/>
  <c r="N14" i="1" s="1"/>
  <c r="L13" i="1"/>
  <c r="L14" i="1" s="1"/>
  <c r="J15" i="1"/>
  <c r="N15" i="1"/>
  <c r="M13" i="1"/>
  <c r="M14" i="1" s="1"/>
  <c r="M15" i="1" s="1"/>
  <c r="L15" i="1"/>
  <c r="I13" i="1"/>
  <c r="I14" i="1" s="1"/>
  <c r="I15" i="1" s="1"/>
  <c r="K13" i="1"/>
  <c r="K14" i="1" s="1"/>
  <c r="K15" i="1" s="1"/>
</calcChain>
</file>

<file path=xl/sharedStrings.xml><?xml version="1.0" encoding="utf-8"?>
<sst xmlns="http://schemas.openxmlformats.org/spreadsheetml/2006/main" count="40" uniqueCount="21">
  <si>
    <t>Sum</t>
  </si>
  <si>
    <t>t</t>
  </si>
  <si>
    <r>
      <t>x</t>
    </r>
    <r>
      <rPr>
        <i/>
        <vertAlign val="subscript"/>
        <sz val="11"/>
        <color theme="1"/>
        <rFont val="Times New Roman"/>
        <family val="1"/>
      </rPr>
      <t>t</t>
    </r>
  </si>
  <si>
    <r>
      <t>y</t>
    </r>
    <r>
      <rPr>
        <i/>
        <vertAlign val="subscript"/>
        <sz val="11"/>
        <color theme="1"/>
        <rFont val="Times New Roman"/>
        <family val="1"/>
      </rPr>
      <t>t</t>
    </r>
  </si>
  <si>
    <r>
      <t>x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x̄</t>
    </r>
  </si>
  <si>
    <r>
      <t>(x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x̄)</t>
    </r>
    <r>
      <rPr>
        <i/>
        <vertAlign val="superscript"/>
        <sz val="11"/>
        <color theme="1"/>
        <rFont val="Times New Roman"/>
        <family val="1"/>
      </rPr>
      <t>2</t>
    </r>
  </si>
  <si>
    <r>
      <t>y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ȳ</t>
    </r>
  </si>
  <si>
    <r>
      <t>(y</t>
    </r>
    <r>
      <rPr>
        <i/>
        <vertAlign val="subscript"/>
        <sz val="11"/>
        <color theme="1"/>
        <rFont val="Times New Roman"/>
        <family val="1"/>
      </rPr>
      <t>t</t>
    </r>
    <r>
      <rPr>
        <i/>
        <sz val="11"/>
        <color theme="1"/>
        <rFont val="Times New Roman"/>
        <family val="1"/>
      </rPr>
      <t xml:space="preserve"> - ȳ)</t>
    </r>
    <r>
      <rPr>
        <i/>
        <vertAlign val="superscript"/>
        <sz val="11"/>
        <color theme="1"/>
        <rFont val="Times New Roman"/>
        <family val="1"/>
      </rPr>
      <t>2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</si>
  <si>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-4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</si>
  <si>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-3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</si>
  <si>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-2</t>
    </r>
    <r>
      <rPr>
        <sz val="11"/>
        <color theme="1"/>
        <rFont val="Aptos Narrow"/>
        <family val="2"/>
        <scheme val="minor"/>
      </rPr>
      <t/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</si>
  <si>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-1</t>
    </r>
    <r>
      <rPr>
        <sz val="11"/>
        <color theme="1"/>
        <rFont val="Aptos Narrow"/>
        <family val="2"/>
        <scheme val="minor"/>
      </rPr>
      <t/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</si>
  <si>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0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</si>
  <si>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1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</si>
  <si>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2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</si>
  <si>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3</t>
    </r>
  </si>
  <si>
    <r>
      <rPr>
        <i/>
        <sz val="11"/>
        <color theme="1"/>
        <rFont val="Times New Roman"/>
        <family val="1"/>
      </rPr>
      <t xml:space="preserve">k </t>
    </r>
    <r>
      <rPr>
        <sz val="11"/>
        <color theme="1"/>
        <rFont val="Times New Roman"/>
        <family val="1"/>
      </rPr>
      <t>= 4</t>
    </r>
  </si>
  <si>
    <r>
      <t>c</t>
    </r>
    <r>
      <rPr>
        <i/>
        <vertAlign val="subscript"/>
        <sz val="11"/>
        <color theme="1"/>
        <rFont val="Times New Roman"/>
        <family val="1"/>
      </rPr>
      <t>k</t>
    </r>
  </si>
  <si>
    <r>
      <t>r</t>
    </r>
    <r>
      <rPr>
        <i/>
        <vertAlign val="subscript"/>
        <sz val="11"/>
        <color theme="1"/>
        <rFont val="Times New Roman"/>
        <family val="1"/>
      </rPr>
      <t>k</t>
    </r>
  </si>
  <si>
    <t>NA</t>
  </si>
  <si>
    <r>
      <t xml:space="preserve">Computation of the Sample Cross-Correlation Function, </t>
    </r>
    <r>
      <rPr>
        <i/>
        <sz val="14"/>
        <color theme="1"/>
        <rFont val="Source Sans Pro"/>
        <family val="2"/>
      </rPr>
      <t>r</t>
    </r>
    <r>
      <rPr>
        <i/>
        <vertAlign val="subscript"/>
        <sz val="14"/>
        <color theme="1"/>
        <rFont val="Source Sans Pro"/>
        <family val="2"/>
      </rPr>
      <t>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</si>
</sst>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9.6"/>
      <color theme="1"/>
      <name val="Source Sans Pro"/>
      <family val="2"/>
    </font>
    <font>
      <sz val="9.6"/>
      <color rgb="FF000000"/>
      <name val="Source Sans Pro"/>
      <family val="2"/>
    </font>
    <font>
      <sz val="8"/>
      <name val="Aptos Narrow"/>
      <family val="2"/>
      <scheme val="minor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Source Sans Pro"/>
      <family val="2"/>
    </font>
    <font>
      <i/>
      <sz val="14"/>
      <color theme="1"/>
      <name val="Source Sans Pro"/>
      <family val="2"/>
    </font>
    <font>
      <i/>
      <vertAlign val="subscript"/>
      <sz val="14"/>
      <color theme="1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0FE4-80D1-40E7-836A-EDFFE58E25C7}">
  <dimension ref="A1:Q15"/>
  <sheetViews>
    <sheetView tabSelected="1" workbookViewId="0">
      <selection sqref="A1:Q1"/>
    </sheetView>
  </sheetViews>
  <sheetFormatPr defaultRowHeight="14.5" x14ac:dyDescent="0.35"/>
  <cols>
    <col min="8" max="8" width="0.54296875" customWidth="1"/>
  </cols>
  <sheetData>
    <row r="1" spans="1:17" ht="39.5" customHeight="1" x14ac:dyDescent="0.35">
      <c r="A1" s="10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</row>
    <row r="2" spans="1:17" s="1" customFormat="1" ht="17.5" x14ac:dyDescent="0.45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2"/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</row>
    <row r="3" spans="1:17" x14ac:dyDescent="0.35">
      <c r="A3" s="4">
        <v>1</v>
      </c>
      <c r="B3" s="4">
        <v>21</v>
      </c>
      <c r="C3" s="4">
        <v>14</v>
      </c>
      <c r="D3" s="4">
        <v>1</v>
      </c>
      <c r="E3" s="4">
        <v>1</v>
      </c>
      <c r="F3" s="6">
        <f>C3-$C$13/10</f>
        <v>-1</v>
      </c>
      <c r="G3" s="6">
        <f>F3^2</f>
        <v>1</v>
      </c>
      <c r="H3" s="16"/>
      <c r="I3" s="7" t="s">
        <v>19</v>
      </c>
      <c r="J3" s="7" t="s">
        <v>19</v>
      </c>
      <c r="K3" s="7" t="s">
        <v>19</v>
      </c>
      <c r="L3" s="7" t="s">
        <v>19</v>
      </c>
      <c r="M3" s="8">
        <v>-1</v>
      </c>
      <c r="N3" s="7">
        <f>F3*D4</f>
        <v>0</v>
      </c>
      <c r="O3" s="5">
        <v>3</v>
      </c>
      <c r="P3" s="5">
        <v>5</v>
      </c>
      <c r="Q3" s="5">
        <v>2</v>
      </c>
    </row>
    <row r="4" spans="1:17" x14ac:dyDescent="0.35">
      <c r="A4" s="4">
        <v>2</v>
      </c>
      <c r="B4" s="4">
        <v>20</v>
      </c>
      <c r="C4" s="4">
        <v>16</v>
      </c>
      <c r="D4" s="4">
        <v>0</v>
      </c>
      <c r="E4" s="4">
        <v>0</v>
      </c>
      <c r="F4" s="6">
        <f t="shared" ref="F4:F12" si="0">C4-$C$13/10</f>
        <v>1</v>
      </c>
      <c r="G4" s="6">
        <f t="shared" ref="G4:G12" si="1">F4^2</f>
        <v>1</v>
      </c>
      <c r="H4" s="17"/>
      <c r="I4" s="7" t="s">
        <v>19</v>
      </c>
      <c r="J4" s="7" t="s">
        <v>19</v>
      </c>
      <c r="K4" s="7" t="s">
        <v>19</v>
      </c>
      <c r="L4" s="7">
        <f t="shared" ref="L4:L12" si="2">F4*D3</f>
        <v>1</v>
      </c>
      <c r="M4" s="7">
        <f>F4*D4</f>
        <v>0</v>
      </c>
      <c r="N4" s="7">
        <f>F4*D5</f>
        <v>-3</v>
      </c>
      <c r="O4" s="5">
        <v>-5</v>
      </c>
      <c r="P4" s="5">
        <v>-2</v>
      </c>
      <c r="Q4" s="5">
        <v>1</v>
      </c>
    </row>
    <row r="5" spans="1:17" x14ac:dyDescent="0.35">
      <c r="A5" s="4">
        <v>3</v>
      </c>
      <c r="B5" s="4">
        <v>17</v>
      </c>
      <c r="C5" s="4">
        <v>18</v>
      </c>
      <c r="D5" s="4">
        <v>-3</v>
      </c>
      <c r="E5" s="4">
        <v>9</v>
      </c>
      <c r="F5" s="6">
        <f t="shared" si="0"/>
        <v>3</v>
      </c>
      <c r="G5" s="6">
        <f t="shared" si="1"/>
        <v>9</v>
      </c>
      <c r="H5" s="17"/>
      <c r="I5" s="7" t="s">
        <v>19</v>
      </c>
      <c r="J5" s="7" t="s">
        <v>19</v>
      </c>
      <c r="K5" s="7">
        <f>F5*D3</f>
        <v>3</v>
      </c>
      <c r="L5" s="7">
        <f t="shared" si="2"/>
        <v>0</v>
      </c>
      <c r="M5" s="7">
        <f t="shared" ref="M5:M12" si="3">F5*D5</f>
        <v>-9</v>
      </c>
      <c r="N5" s="7">
        <f>F5*D6</f>
        <v>-15</v>
      </c>
      <c r="O5" s="5">
        <v>-6</v>
      </c>
      <c r="P5" s="5">
        <v>3</v>
      </c>
      <c r="Q5" s="5">
        <v>3</v>
      </c>
    </row>
    <row r="6" spans="1:17" x14ac:dyDescent="0.35">
      <c r="A6" s="4">
        <v>4</v>
      </c>
      <c r="B6" s="4">
        <v>15</v>
      </c>
      <c r="C6" s="4">
        <v>17</v>
      </c>
      <c r="D6" s="4">
        <v>-5</v>
      </c>
      <c r="E6" s="4">
        <v>25</v>
      </c>
      <c r="F6" s="6">
        <f t="shared" si="0"/>
        <v>2</v>
      </c>
      <c r="G6" s="6">
        <f t="shared" si="1"/>
        <v>4</v>
      </c>
      <c r="H6" s="17"/>
      <c r="I6" s="7" t="s">
        <v>19</v>
      </c>
      <c r="J6" s="7">
        <f>F6*D3</f>
        <v>2</v>
      </c>
      <c r="K6" s="7">
        <f t="shared" ref="K6:K12" si="4">F6*D4</f>
        <v>0</v>
      </c>
      <c r="L6" s="7">
        <f t="shared" si="2"/>
        <v>-6</v>
      </c>
      <c r="M6" s="7">
        <f t="shared" si="3"/>
        <v>-10</v>
      </c>
      <c r="N6" s="7">
        <f>F6*D7</f>
        <v>-4</v>
      </c>
      <c r="O6" s="5">
        <v>2</v>
      </c>
      <c r="P6" s="5">
        <v>2</v>
      </c>
      <c r="Q6" s="5">
        <v>8</v>
      </c>
    </row>
    <row r="7" spans="1:17" x14ac:dyDescent="0.35">
      <c r="A7" s="4">
        <v>5</v>
      </c>
      <c r="B7" s="4">
        <v>18</v>
      </c>
      <c r="C7" s="4">
        <v>12</v>
      </c>
      <c r="D7" s="4">
        <v>-2</v>
      </c>
      <c r="E7" s="4">
        <v>4</v>
      </c>
      <c r="F7" s="6">
        <f t="shared" si="0"/>
        <v>-3</v>
      </c>
      <c r="G7" s="6">
        <f t="shared" si="1"/>
        <v>9</v>
      </c>
      <c r="H7" s="17"/>
      <c r="I7" s="7">
        <f>F7*D3</f>
        <v>-3</v>
      </c>
      <c r="J7" s="7">
        <f t="shared" ref="J7:J12" si="5">F7*D4</f>
        <v>0</v>
      </c>
      <c r="K7" s="7">
        <f t="shared" si="4"/>
        <v>9</v>
      </c>
      <c r="L7" s="7">
        <f t="shared" si="2"/>
        <v>15</v>
      </c>
      <c r="M7" s="7">
        <f t="shared" si="3"/>
        <v>6</v>
      </c>
      <c r="N7" s="7">
        <f>F7*D8</f>
        <v>-3</v>
      </c>
      <c r="O7" s="5">
        <v>-3</v>
      </c>
      <c r="P7" s="5">
        <v>-12</v>
      </c>
      <c r="Q7" s="5">
        <v>-6</v>
      </c>
    </row>
    <row r="8" spans="1:17" x14ac:dyDescent="0.35">
      <c r="A8" s="4">
        <v>6</v>
      </c>
      <c r="B8" s="4">
        <v>21</v>
      </c>
      <c r="C8" s="4">
        <v>10</v>
      </c>
      <c r="D8" s="4">
        <v>1</v>
      </c>
      <c r="E8" s="4">
        <v>1</v>
      </c>
      <c r="F8" s="6">
        <f t="shared" si="0"/>
        <v>-5</v>
      </c>
      <c r="G8" s="6">
        <f t="shared" si="1"/>
        <v>25</v>
      </c>
      <c r="H8" s="17"/>
      <c r="I8" s="7">
        <f t="shared" ref="I8:I12" si="6">F8*D4</f>
        <v>0</v>
      </c>
      <c r="J8" s="7">
        <f t="shared" si="5"/>
        <v>15</v>
      </c>
      <c r="K8" s="7">
        <f t="shared" si="4"/>
        <v>25</v>
      </c>
      <c r="L8" s="7">
        <f t="shared" si="2"/>
        <v>10</v>
      </c>
      <c r="M8" s="7">
        <f t="shared" si="3"/>
        <v>-5</v>
      </c>
      <c r="N8" s="7">
        <f>F8*D9</f>
        <v>-5</v>
      </c>
      <c r="O8" s="5">
        <v>-20</v>
      </c>
      <c r="P8" s="5">
        <v>-10</v>
      </c>
      <c r="Q8" s="5">
        <v>-5</v>
      </c>
    </row>
    <row r="9" spans="1:17" x14ac:dyDescent="0.35">
      <c r="A9" s="4">
        <v>7</v>
      </c>
      <c r="B9" s="4">
        <v>21</v>
      </c>
      <c r="C9" s="4">
        <v>11</v>
      </c>
      <c r="D9" s="4">
        <v>1</v>
      </c>
      <c r="E9" s="4">
        <v>1</v>
      </c>
      <c r="F9" s="6">
        <f t="shared" si="0"/>
        <v>-4</v>
      </c>
      <c r="G9" s="6">
        <f t="shared" si="1"/>
        <v>16</v>
      </c>
      <c r="H9" s="17"/>
      <c r="I9" s="7">
        <f t="shared" si="6"/>
        <v>12</v>
      </c>
      <c r="J9" s="7">
        <f t="shared" si="5"/>
        <v>20</v>
      </c>
      <c r="K9" s="7">
        <f t="shared" si="4"/>
        <v>8</v>
      </c>
      <c r="L9" s="7">
        <f t="shared" si="2"/>
        <v>-4</v>
      </c>
      <c r="M9" s="7">
        <f t="shared" si="3"/>
        <v>-4</v>
      </c>
      <c r="N9" s="7">
        <f>F9*D10</f>
        <v>-16</v>
      </c>
      <c r="O9" s="5">
        <v>-8</v>
      </c>
      <c r="P9" s="5">
        <v>-4</v>
      </c>
      <c r="Q9" s="9" t="s">
        <v>19</v>
      </c>
    </row>
    <row r="10" spans="1:17" x14ac:dyDescent="0.35">
      <c r="A10" s="4">
        <v>8</v>
      </c>
      <c r="B10" s="4">
        <v>24</v>
      </c>
      <c r="C10" s="4">
        <v>16</v>
      </c>
      <c r="D10" s="4">
        <v>4</v>
      </c>
      <c r="E10" s="4">
        <v>16</v>
      </c>
      <c r="F10" s="6">
        <f t="shared" si="0"/>
        <v>1</v>
      </c>
      <c r="G10" s="6">
        <f t="shared" si="1"/>
        <v>1</v>
      </c>
      <c r="H10" s="17"/>
      <c r="I10" s="7">
        <f t="shared" si="6"/>
        <v>-5</v>
      </c>
      <c r="J10" s="7">
        <f t="shared" si="5"/>
        <v>-2</v>
      </c>
      <c r="K10" s="7">
        <f t="shared" si="4"/>
        <v>1</v>
      </c>
      <c r="L10" s="7">
        <f t="shared" si="2"/>
        <v>1</v>
      </c>
      <c r="M10" s="7">
        <f t="shared" si="3"/>
        <v>4</v>
      </c>
      <c r="N10" s="7">
        <f>F10*D11</f>
        <v>2</v>
      </c>
      <c r="O10" s="5">
        <v>1</v>
      </c>
      <c r="P10" s="9" t="s">
        <v>19</v>
      </c>
      <c r="Q10" s="9" t="s">
        <v>19</v>
      </c>
    </row>
    <row r="11" spans="1:17" x14ac:dyDescent="0.35">
      <c r="A11" s="4">
        <v>9</v>
      </c>
      <c r="B11" s="4">
        <v>22</v>
      </c>
      <c r="C11" s="4">
        <v>14</v>
      </c>
      <c r="D11" s="4">
        <v>2</v>
      </c>
      <c r="E11" s="4">
        <v>4</v>
      </c>
      <c r="F11" s="6">
        <f t="shared" si="0"/>
        <v>-1</v>
      </c>
      <c r="G11" s="6">
        <f t="shared" si="1"/>
        <v>1</v>
      </c>
      <c r="H11" s="17"/>
      <c r="I11" s="7">
        <f t="shared" si="6"/>
        <v>2</v>
      </c>
      <c r="J11" s="7">
        <f t="shared" si="5"/>
        <v>-1</v>
      </c>
      <c r="K11" s="7">
        <f t="shared" si="4"/>
        <v>-1</v>
      </c>
      <c r="L11" s="7">
        <f t="shared" si="2"/>
        <v>-4</v>
      </c>
      <c r="M11" s="7">
        <f t="shared" si="3"/>
        <v>-2</v>
      </c>
      <c r="N11" s="7">
        <f>F11*D12</f>
        <v>-1</v>
      </c>
      <c r="O11" s="9" t="s">
        <v>19</v>
      </c>
      <c r="P11" s="9" t="s">
        <v>19</v>
      </c>
      <c r="Q11" s="9" t="s">
        <v>19</v>
      </c>
    </row>
    <row r="12" spans="1:17" x14ac:dyDescent="0.35">
      <c r="A12" s="4">
        <v>10</v>
      </c>
      <c r="B12" s="4">
        <v>21</v>
      </c>
      <c r="C12" s="4">
        <v>22</v>
      </c>
      <c r="D12" s="4">
        <v>1</v>
      </c>
      <c r="E12" s="4">
        <v>1</v>
      </c>
      <c r="F12" s="6">
        <f t="shared" si="0"/>
        <v>7</v>
      </c>
      <c r="G12" s="6">
        <f t="shared" si="1"/>
        <v>49</v>
      </c>
      <c r="H12" s="17"/>
      <c r="I12" s="7">
        <f t="shared" si="6"/>
        <v>7</v>
      </c>
      <c r="J12" s="7">
        <f t="shared" si="5"/>
        <v>7</v>
      </c>
      <c r="K12" s="7">
        <f t="shared" si="4"/>
        <v>28</v>
      </c>
      <c r="L12" s="7">
        <f t="shared" si="2"/>
        <v>14</v>
      </c>
      <c r="M12" s="7">
        <f t="shared" si="3"/>
        <v>7</v>
      </c>
      <c r="N12" s="7" t="s">
        <v>19</v>
      </c>
      <c r="O12" s="9" t="s">
        <v>19</v>
      </c>
      <c r="P12" s="9" t="s">
        <v>19</v>
      </c>
      <c r="Q12" s="9" t="s">
        <v>19</v>
      </c>
    </row>
    <row r="13" spans="1:17" x14ac:dyDescent="0.35">
      <c r="A13" s="4" t="s">
        <v>0</v>
      </c>
      <c r="B13" s="4">
        <v>200</v>
      </c>
      <c r="C13" s="4">
        <v>150</v>
      </c>
      <c r="D13" s="4">
        <v>0</v>
      </c>
      <c r="E13" s="4">
        <v>62</v>
      </c>
      <c r="F13" s="6">
        <f>SUM(F3:F12)</f>
        <v>0</v>
      </c>
      <c r="G13" s="6">
        <f t="shared" ref="G13:N13" si="7">SUM(G3:G12)</f>
        <v>116</v>
      </c>
      <c r="H13" s="18"/>
      <c r="I13" s="6">
        <f t="shared" si="7"/>
        <v>13</v>
      </c>
      <c r="J13" s="6">
        <f t="shared" si="7"/>
        <v>41</v>
      </c>
      <c r="K13" s="6">
        <f t="shared" si="7"/>
        <v>73</v>
      </c>
      <c r="L13" s="6">
        <f t="shared" si="7"/>
        <v>27</v>
      </c>
      <c r="M13" s="6">
        <f t="shared" si="7"/>
        <v>-14</v>
      </c>
      <c r="N13" s="6">
        <f t="shared" si="7"/>
        <v>-45</v>
      </c>
      <c r="O13" s="5">
        <v>-36</v>
      </c>
      <c r="P13" s="5">
        <v>-18</v>
      </c>
      <c r="Q13" s="5">
        <v>3</v>
      </c>
    </row>
    <row r="14" spans="1:17" ht="17" x14ac:dyDescent="0.35">
      <c r="D14" s="2" t="s">
        <v>17</v>
      </c>
      <c r="E14" s="7">
        <f>E13/10</f>
        <v>6.2</v>
      </c>
      <c r="G14" s="7">
        <f>G13/10</f>
        <v>11.6</v>
      </c>
      <c r="I14" s="7">
        <f>I13/10</f>
        <v>1.3</v>
      </c>
      <c r="J14" s="7">
        <f t="shared" ref="J14:N14" si="8">J13/10</f>
        <v>4.0999999999999996</v>
      </c>
      <c r="K14" s="7">
        <f t="shared" si="8"/>
        <v>7.3</v>
      </c>
      <c r="L14" s="7">
        <f t="shared" si="8"/>
        <v>2.7</v>
      </c>
      <c r="M14" s="7">
        <f t="shared" si="8"/>
        <v>-1.4</v>
      </c>
      <c r="N14" s="7">
        <f t="shared" si="8"/>
        <v>-4.5</v>
      </c>
      <c r="O14" s="5">
        <v>-3.6</v>
      </c>
      <c r="P14" s="5">
        <v>-1.8</v>
      </c>
      <c r="Q14" s="5">
        <v>0.3</v>
      </c>
    </row>
    <row r="15" spans="1:17" ht="17" x14ac:dyDescent="0.35">
      <c r="D15" s="2" t="s">
        <v>18</v>
      </c>
      <c r="I15" s="14">
        <f>I14/SQRT(($E$13/10)*($G$13/10))</f>
        <v>0.1532916549568879</v>
      </c>
      <c r="J15" s="14">
        <f t="shared" ref="J15:N15" si="9">J14/SQRT(($E$13/10)*($G$13/10))</f>
        <v>0.4834582964024926</v>
      </c>
      <c r="K15" s="14">
        <f t="shared" si="9"/>
        <v>0.86079160091175511</v>
      </c>
      <c r="L15" s="14">
        <f t="shared" si="9"/>
        <v>0.31837497567969031</v>
      </c>
      <c r="M15" s="14">
        <f t="shared" si="9"/>
        <v>-0.16508332072280235</v>
      </c>
      <c r="N15" s="14">
        <f t="shared" si="9"/>
        <v>-0.5306249594661504</v>
      </c>
      <c r="O15" s="15">
        <v>-0.42399999999999999</v>
      </c>
      <c r="P15" s="15">
        <v>-0.21199999999999999</v>
      </c>
      <c r="Q15" s="15">
        <v>3.5000000000000003E-2</v>
      </c>
    </row>
  </sheetData>
  <mergeCells count="1">
    <mergeCell ref="A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Roberts</dc:creator>
  <cp:lastModifiedBy>Craig Johnson</cp:lastModifiedBy>
  <dcterms:created xsi:type="dcterms:W3CDTF">2025-10-14T18:45:51Z</dcterms:created>
  <dcterms:modified xsi:type="dcterms:W3CDTF">2026-10-14T18:12:21Z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711bd2-0ee9-46e2-b29d-55439e19cd24_Enabled">
    <vt:lpwstr>true</vt:lpwstr>
  </property>
  <property fmtid="{D5CDD505-2E9C-101B-9397-08002B2CF9AE}" pid="3" name="MSIP_Label_68711bd2-0ee9-46e2-b29d-55439e19cd24_SetDate">
    <vt:lpwstr>2025-10-14T19:07:47Z</vt:lpwstr>
  </property>
  <property fmtid="{D5CDD505-2E9C-101B-9397-08002B2CF9AE}" pid="4" name="MSIP_Label_68711bd2-0ee9-46e2-b29d-55439e19cd24_Method">
    <vt:lpwstr>Standard</vt:lpwstr>
  </property>
  <property fmtid="{D5CDD505-2E9C-101B-9397-08002B2CF9AE}" pid="5" name="MSIP_Label_68711bd2-0ee9-46e2-b29d-55439e19cd24_Name">
    <vt:lpwstr>defa4170-0d19-0005-0004-bc88714345d2</vt:lpwstr>
  </property>
  <property fmtid="{D5CDD505-2E9C-101B-9397-08002B2CF9AE}" pid="6" name="MSIP_Label_68711bd2-0ee9-46e2-b29d-55439e19cd24_SiteId">
    <vt:lpwstr>43d140ae-c5ca-429b-94be-48060dec7bfc</vt:lpwstr>
  </property>
  <property fmtid="{D5CDD505-2E9C-101B-9397-08002B2CF9AE}" pid="7" name="MSIP_Label_68711bd2-0ee9-46e2-b29d-55439e19cd24_ActionId">
    <vt:lpwstr>5f5ebdd2-0e2d-480d-ac47-e5e2956297ba</vt:lpwstr>
  </property>
  <property fmtid="{D5CDD505-2E9C-101B-9397-08002B2CF9AE}" pid="8" name="MSIP_Label_68711bd2-0ee9-46e2-b29d-55439e19cd24_ContentBits">
    <vt:lpwstr>0</vt:lpwstr>
  </property>
  <property fmtid="{D5CDD505-2E9C-101B-9397-08002B2CF9AE}" pid="9" name="MSIP_Label_68711bd2-0ee9-46e2-b29d-55439e19cd24_Tag">
    <vt:lpwstr>10, 3, 0, 1</vt:lpwstr>
  </property>
</Properties>
</file>