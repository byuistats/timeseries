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F29F65D8-E408-452D-BAFA-4CA028A6BDFB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D6" i="2"/>
  <c r="F5" i="2"/>
  <c r="G5" i="2" s="1"/>
  <c r="B13" i="2"/>
  <c r="F8" i="2" s="1"/>
  <c r="G8" i="2" s="1"/>
  <c r="B12" i="2"/>
  <c r="D5" i="2" s="1"/>
  <c r="E5" i="2" l="1"/>
  <c r="H5" i="2"/>
  <c r="D8" i="2"/>
  <c r="H8" i="2" s="1"/>
  <c r="D3" i="2"/>
  <c r="F6" i="2"/>
  <c r="G6" i="2" s="1"/>
  <c r="F7" i="2"/>
  <c r="G7" i="2" s="1"/>
  <c r="H6" i="2"/>
  <c r="D7" i="2"/>
  <c r="H7" i="2" s="1"/>
  <c r="F3" i="2"/>
  <c r="F4" i="2"/>
  <c r="G4" i="2" s="1"/>
  <c r="D4" i="2"/>
  <c r="E4" i="2" s="1"/>
  <c r="E6" i="2"/>
  <c r="E7" i="2"/>
  <c r="H4" i="2"/>
  <c r="E8" i="2"/>
  <c r="F9" i="2" l="1"/>
  <c r="G3" i="2"/>
  <c r="G9" i="2" s="1"/>
  <c r="B15" i="2" s="1"/>
  <c r="D9" i="2"/>
  <c r="E3" i="2"/>
  <c r="E9" i="2" s="1"/>
  <c r="H3" i="2"/>
  <c r="H9" i="2" s="1"/>
  <c r="B16" i="2" s="1"/>
  <c r="B14" i="2" l="1"/>
  <c r="B17" i="2" s="1"/>
</calcChain>
</file>

<file path=xl/sharedStrings.xml><?xml version="1.0" encoding="utf-8"?>
<sst xmlns="http://schemas.openxmlformats.org/spreadsheetml/2006/main" count="5" uniqueCount="5">
  <si>
    <t>sum</t>
  </si>
  <si>
    <t>t</t>
  </si>
  <si>
    <t xml:space="preserve">
</t>
  </si>
  <si>
    <t>Table 3: Computational Practice</t>
  </si>
  <si>
    <t>(Compute the unbiased estimators, dividing by 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</si>
</sst>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318294</xdr:colOff>
      <xdr:row>13</xdr:row>
      <xdr:rowOff>60833</xdr:rowOff>
    </xdr:from>
    <xdr:ext cx="19704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303054</xdr:colOff>
      <xdr:row>14</xdr:row>
      <xdr:rowOff>45593</xdr:rowOff>
    </xdr:from>
    <xdr:ext cx="202235" cy="2324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310674</xdr:colOff>
      <xdr:row>16</xdr:row>
      <xdr:rowOff>81153</xdr:rowOff>
    </xdr:from>
    <xdr:ext cx="12298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74454</xdr:colOff>
      <xdr:row>15</xdr:row>
      <xdr:rowOff>87503</xdr:rowOff>
    </xdr:from>
    <xdr:ext cx="735073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H17"/>
  <sheetViews>
    <sheetView tabSelected="1" workbookViewId="0">
      <selection sqref="A1:H1"/>
    </sheetView>
  </sheetViews>
  <sheetFormatPr defaultRowHeight="14.5" x14ac:dyDescent="0.35"/>
  <cols>
    <col min="1" max="1" width="11.90625" style="11" customWidth="1"/>
    <col min="2" max="2" width="12" style="11" customWidth="1"/>
    <col min="3" max="3" width="12.1796875" style="11" bestFit="1" customWidth="1"/>
    <col min="4" max="6" width="11.1796875" style="11" bestFit="1" customWidth="1"/>
    <col min="7" max="7" width="12" style="11" customWidth="1"/>
    <col min="8" max="8" width="18.1796875" style="11" customWidth="1"/>
    <col min="9" max="13" width="8.7265625" style="11"/>
    <col min="14" max="14" width="9.6328125" style="11" customWidth="1"/>
    <col min="15" max="16384" width="8.7265625" style="11"/>
  </cols>
  <sheetData>
    <row r="1" spans="1:8" ht="48.65" customHeight="1" x14ac:dyDescent="0.35">
      <c r="A1" s="8" t="s">
        <v>3</v>
      </c>
      <c r="B1" s="9"/>
      <c r="C1" s="9"/>
      <c r="D1" s="9"/>
      <c r="E1" s="9"/>
      <c r="F1" s="9"/>
      <c r="G1" s="9"/>
      <c r="H1" s="10"/>
    </row>
    <row r="2" spans="1:8" ht="29" x14ac:dyDescent="0.35">
      <c r="A2" s="2" t="s">
        <v>1</v>
      </c>
      <c r="B2" s="3" t="s">
        <v>2</v>
      </c>
      <c r="C2" s="2"/>
      <c r="D2" s="2"/>
      <c r="E2" s="12"/>
      <c r="F2" s="12"/>
      <c r="G2" s="12"/>
      <c r="H2" s="12"/>
    </row>
    <row r="3" spans="1:8" ht="21" customHeight="1" x14ac:dyDescent="0.35">
      <c r="A3" s="4">
        <v>1</v>
      </c>
      <c r="B3" s="4">
        <v>-2.1</v>
      </c>
      <c r="C3" s="4">
        <v>2.8</v>
      </c>
      <c r="D3" s="4">
        <f>B3-$B$12</f>
        <v>-1.9000000000000001</v>
      </c>
      <c r="E3" s="4">
        <f>D3^2</f>
        <v>3.6100000000000003</v>
      </c>
      <c r="F3" s="4">
        <f>C3-$B$13</f>
        <v>0.99999999999999978</v>
      </c>
      <c r="G3" s="4">
        <f>F3^2</f>
        <v>0.99999999999999956</v>
      </c>
      <c r="H3" s="4">
        <f>D3*F3</f>
        <v>-1.8999999999999997</v>
      </c>
    </row>
    <row r="4" spans="1:8" ht="21" customHeight="1" x14ac:dyDescent="0.35">
      <c r="A4" s="4">
        <v>2</v>
      </c>
      <c r="B4" s="4">
        <v>-0.2</v>
      </c>
      <c r="C4" s="4">
        <v>2.2000000000000002</v>
      </c>
      <c r="D4" s="1">
        <f t="shared" ref="D4:D8" si="0">B4-$B$12</f>
        <v>0</v>
      </c>
      <c r="E4" s="1">
        <f t="shared" ref="E4:E9" si="1">D4^2</f>
        <v>0</v>
      </c>
      <c r="F4" s="1">
        <f t="shared" ref="F4:F8" si="2">C4-$B$13</f>
        <v>0.40000000000000013</v>
      </c>
      <c r="G4" s="1">
        <f t="shared" ref="G4:G8" si="3">F4^2</f>
        <v>0.16000000000000011</v>
      </c>
      <c r="H4" s="1">
        <f t="shared" ref="H4:H8" si="4">D4*F4</f>
        <v>0</v>
      </c>
    </row>
    <row r="5" spans="1:8" ht="21" customHeight="1" x14ac:dyDescent="0.35">
      <c r="A5" s="4">
        <v>3</v>
      </c>
      <c r="B5" s="4">
        <v>0.8</v>
      </c>
      <c r="C5" s="4">
        <v>0.9</v>
      </c>
      <c r="D5" s="1">
        <f t="shared" si="0"/>
        <v>1</v>
      </c>
      <c r="E5" s="1">
        <f t="shared" si="1"/>
        <v>1</v>
      </c>
      <c r="F5" s="1">
        <f t="shared" si="2"/>
        <v>-0.9</v>
      </c>
      <c r="G5" s="1">
        <f t="shared" si="3"/>
        <v>0.81</v>
      </c>
      <c r="H5" s="1">
        <f t="shared" si="4"/>
        <v>-0.9</v>
      </c>
    </row>
    <row r="6" spans="1:8" ht="21" customHeight="1" x14ac:dyDescent="0.35">
      <c r="A6" s="4">
        <v>4</v>
      </c>
      <c r="B6" s="4">
        <v>0.4</v>
      </c>
      <c r="C6" s="4">
        <v>2</v>
      </c>
      <c r="D6" s="1">
        <f t="shared" si="0"/>
        <v>0.60000000000000009</v>
      </c>
      <c r="E6" s="1">
        <f t="shared" si="1"/>
        <v>0.3600000000000001</v>
      </c>
      <c r="F6" s="1">
        <f t="shared" si="2"/>
        <v>0.19999999999999996</v>
      </c>
      <c r="G6" s="1">
        <f t="shared" si="3"/>
        <v>3.999999999999998E-2</v>
      </c>
      <c r="H6" s="1">
        <f t="shared" si="4"/>
        <v>0.12</v>
      </c>
    </row>
    <row r="7" spans="1:8" ht="21" customHeight="1" x14ac:dyDescent="0.35">
      <c r="A7" s="4">
        <v>5</v>
      </c>
      <c r="B7" s="4">
        <v>2.2999999999999998</v>
      </c>
      <c r="C7" s="4">
        <v>-1</v>
      </c>
      <c r="D7" s="1">
        <f t="shared" si="0"/>
        <v>2.5</v>
      </c>
      <c r="E7" s="1">
        <f t="shared" si="1"/>
        <v>6.25</v>
      </c>
      <c r="F7" s="1">
        <f t="shared" si="2"/>
        <v>-2.8</v>
      </c>
      <c r="G7" s="1">
        <f t="shared" si="3"/>
        <v>7.839999999999999</v>
      </c>
      <c r="H7" s="1">
        <f t="shared" si="4"/>
        <v>-7</v>
      </c>
    </row>
    <row r="8" spans="1:8" ht="21" customHeight="1" x14ac:dyDescent="0.35">
      <c r="A8" s="4">
        <v>6</v>
      </c>
      <c r="B8" s="4">
        <v>-2.4</v>
      </c>
      <c r="C8" s="4">
        <v>3.9</v>
      </c>
      <c r="D8" s="1">
        <f t="shared" si="0"/>
        <v>-2.1999999999999997</v>
      </c>
      <c r="E8" s="1">
        <f t="shared" si="1"/>
        <v>4.839999999999999</v>
      </c>
      <c r="F8" s="1">
        <f t="shared" si="2"/>
        <v>2.0999999999999996</v>
      </c>
      <c r="G8" s="1">
        <f t="shared" si="3"/>
        <v>4.4099999999999984</v>
      </c>
      <c r="H8" s="1">
        <f t="shared" si="4"/>
        <v>-4.6199999999999983</v>
      </c>
    </row>
    <row r="9" spans="1:8" ht="21" customHeight="1" x14ac:dyDescent="0.35">
      <c r="A9" s="5" t="s">
        <v>0</v>
      </c>
      <c r="B9" s="6">
        <f t="shared" ref="B9:C9" si="5">SUM(B3:B8)</f>
        <v>-1.2000000000000002</v>
      </c>
      <c r="C9" s="6">
        <f t="shared" si="5"/>
        <v>10.8</v>
      </c>
      <c r="D9" s="7">
        <f>SUM(D3:D8)</f>
        <v>0</v>
      </c>
      <c r="E9" s="7">
        <f t="shared" ref="E9:H9" si="6">SUM(E3:E8)</f>
        <v>16.059999999999999</v>
      </c>
      <c r="F9" s="7">
        <f t="shared" si="6"/>
        <v>0</v>
      </c>
      <c r="G9" s="7">
        <f t="shared" si="6"/>
        <v>14.259999999999996</v>
      </c>
      <c r="H9" s="13">
        <f t="shared" si="6"/>
        <v>-14.299999999999997</v>
      </c>
    </row>
    <row r="11" spans="1:8" x14ac:dyDescent="0.35">
      <c r="F11" s="14"/>
    </row>
    <row r="12" spans="1:8" ht="30" customHeight="1" x14ac:dyDescent="0.35">
      <c r="A12" s="12"/>
      <c r="B12" s="15">
        <f>B9/6</f>
        <v>-0.20000000000000004</v>
      </c>
    </row>
    <row r="13" spans="1:8" ht="30" customHeight="1" x14ac:dyDescent="0.35">
      <c r="A13" s="12"/>
      <c r="B13" s="15">
        <f>C9/6</f>
        <v>1.8</v>
      </c>
    </row>
    <row r="14" spans="1:8" ht="30" customHeight="1" x14ac:dyDescent="0.35">
      <c r="A14" s="12"/>
      <c r="B14" s="15">
        <f>SQRT(E9/(6-1))</f>
        <v>1.7922053453775881</v>
      </c>
      <c r="D14" s="16" t="s">
        <v>4</v>
      </c>
    </row>
    <row r="15" spans="1:8" ht="30" customHeight="1" x14ac:dyDescent="0.35">
      <c r="A15" s="12"/>
      <c r="B15" s="15">
        <f>SQRT(G9/(6-1))</f>
        <v>1.688786546606764</v>
      </c>
    </row>
    <row r="16" spans="1:8" ht="30" customHeight="1" x14ac:dyDescent="0.35">
      <c r="A16" s="12"/>
      <c r="B16" s="15">
        <f>H9/(6-1)</f>
        <v>-2.8599999999999994</v>
      </c>
    </row>
    <row r="17" spans="1:2" ht="30" customHeight="1" x14ac:dyDescent="0.35">
      <c r="A17" s="12"/>
      <c r="B17" s="15">
        <f>B16/(B14*B15)</f>
        <v>-0.94493841352367947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2026-09-29T02:41:19Z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2025-10-02T18:58:30Z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06b1cf17-f520-451e-8d25-763ebd66b779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