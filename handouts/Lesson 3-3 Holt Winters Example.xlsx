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01381CC6-C2E0-40D1-9FE2-34B517B9C38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Quarterly" sheetId="2" r:id="rId1"/>
    <sheet name="TS Plot" sheetId="3" r:id="rId2"/>
    <sheet name="README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H7" i="2"/>
  <c r="H8" i="2"/>
  <c r="H9" i="2"/>
  <c r="H6" i="2"/>
  <c r="C6" i="2"/>
  <c r="E6" i="2" s="1"/>
  <c r="C7" i="2" l="1"/>
  <c r="F6" i="2"/>
  <c r="C6" i="3" s="1"/>
  <c r="E7" i="2" l="1"/>
  <c r="F7" i="2" s="1"/>
  <c r="C7" i="3" s="1"/>
  <c r="D7" i="2"/>
  <c r="C8" i="2" s="1"/>
  <c r="D8" i="2" l="1"/>
  <c r="C9" i="2" s="1"/>
  <c r="E8" i="2"/>
  <c r="F8" i="2" s="1"/>
  <c r="C8" i="3" s="1"/>
  <c r="E9" i="2" l="1"/>
  <c r="F9" i="2" s="1"/>
  <c r="C9" i="3" s="1"/>
  <c r="D9" i="2"/>
  <c r="C10" i="2" s="1"/>
  <c r="E10" i="2" l="1"/>
  <c r="F10" i="2" s="1"/>
  <c r="C10" i="3" s="1"/>
  <c r="D10" i="2"/>
  <c r="C11" i="2" s="1"/>
  <c r="E11" i="2" l="1"/>
  <c r="F11" i="2" s="1"/>
  <c r="C11" i="3" s="1"/>
  <c r="D11" i="2"/>
  <c r="C12" i="2" s="1"/>
  <c r="E12" i="2" l="1"/>
  <c r="F12" i="2" s="1"/>
  <c r="C12" i="3" s="1"/>
  <c r="D12" i="2"/>
  <c r="C13" i="2" s="1"/>
  <c r="D13" i="2" l="1"/>
  <c r="C14" i="2" s="1"/>
  <c r="E13" i="2"/>
  <c r="F13" i="2" s="1"/>
  <c r="C13" i="3" s="1"/>
  <c r="D14" i="2" l="1"/>
  <c r="C15" i="2" s="1"/>
  <c r="E14" i="2"/>
  <c r="F14" i="2" s="1"/>
  <c r="C14" i="3" s="1"/>
  <c r="E15" i="2" l="1"/>
  <c r="F15" i="2" s="1"/>
  <c r="C15" i="3" s="1"/>
  <c r="D15" i="2"/>
  <c r="C16" i="2" s="1"/>
  <c r="D16" i="2" l="1"/>
  <c r="C17" i="2" s="1"/>
  <c r="E16" i="2"/>
  <c r="E17" i="2" l="1"/>
  <c r="D17" i="2"/>
  <c r="C18" i="2" s="1"/>
  <c r="F16" i="2"/>
  <c r="C16" i="3" s="1"/>
  <c r="E18" i="2" l="1"/>
  <c r="F18" i="2" s="1"/>
  <c r="C18" i="3" s="1"/>
  <c r="D18" i="2"/>
  <c r="C19" i="2" s="1"/>
  <c r="F17" i="2"/>
  <c r="C17" i="3" s="1"/>
  <c r="D19" i="2" l="1"/>
  <c r="C20" i="2" s="1"/>
  <c r="E19" i="2"/>
  <c r="F19" i="2" s="1"/>
  <c r="C19" i="3" s="1"/>
  <c r="D20" i="2" l="1"/>
  <c r="C21" i="2" s="1"/>
  <c r="E20" i="2"/>
  <c r="F20" i="2" s="1"/>
  <c r="C20" i="3" s="1"/>
  <c r="E21" i="2" l="1"/>
  <c r="D21" i="2"/>
  <c r="C22" i="2" s="1"/>
  <c r="F21" i="2" l="1"/>
  <c r="C21" i="3" s="1"/>
  <c r="D22" i="2"/>
  <c r="C23" i="2" s="1"/>
  <c r="E22" i="2"/>
  <c r="F22" i="2" s="1"/>
  <c r="C22" i="3" s="1"/>
  <c r="E23" i="2" l="1"/>
  <c r="D23" i="2"/>
  <c r="C24" i="2" s="1"/>
  <c r="E24" i="2" l="1"/>
  <c r="D24" i="2"/>
  <c r="C25" i="2" s="1"/>
  <c r="F23" i="2"/>
  <c r="C23" i="3" s="1"/>
  <c r="D25" i="2" l="1"/>
  <c r="C26" i="2" s="1"/>
  <c r="E25" i="2"/>
  <c r="F24" i="2"/>
  <c r="C24" i="3" s="1"/>
  <c r="E26" i="2" l="1"/>
  <c r="F26" i="2" s="1"/>
  <c r="C26" i="3" s="1"/>
  <c r="D26" i="2"/>
  <c r="C27" i="2" s="1"/>
  <c r="F25" i="2"/>
  <c r="C25" i="3" s="1"/>
  <c r="E27" i="2" l="1"/>
  <c r="F27" i="2" s="1"/>
  <c r="C27" i="3" s="1"/>
  <c r="D27" i="2"/>
  <c r="C28" i="2" s="1"/>
  <c r="D28" i="2" l="1"/>
  <c r="C29" i="2" s="1"/>
  <c r="E28" i="2"/>
  <c r="D29" i="2" l="1"/>
  <c r="C30" i="2" s="1"/>
  <c r="E29" i="2"/>
  <c r="F28" i="2"/>
  <c r="C28" i="3" s="1"/>
  <c r="E30" i="2" l="1"/>
  <c r="F30" i="2" s="1"/>
  <c r="C30" i="3" s="1"/>
  <c r="D30" i="2"/>
  <c r="C31" i="2" s="1"/>
  <c r="F29" i="2"/>
  <c r="C29" i="3" s="1"/>
  <c r="E31" i="2" l="1"/>
  <c r="F31" i="2" s="1"/>
  <c r="C31" i="3" s="1"/>
  <c r="D31" i="2"/>
  <c r="C32" i="2" s="1"/>
  <c r="E32" i="2" l="1"/>
  <c r="D32" i="2"/>
  <c r="C33" i="2" s="1"/>
  <c r="D33" i="2" l="1"/>
  <c r="C34" i="2" s="1"/>
  <c r="E33" i="2"/>
  <c r="F32" i="2"/>
  <c r="C32" i="3" s="1"/>
  <c r="E34" i="2" l="1"/>
  <c r="F34" i="2" s="1"/>
  <c r="C34" i="3" s="1"/>
  <c r="D34" i="2"/>
  <c r="C35" i="2" s="1"/>
  <c r="F33" i="2"/>
  <c r="C33" i="3" s="1"/>
  <c r="D35" i="2" l="1"/>
  <c r="C36" i="2" s="1"/>
  <c r="E35" i="2"/>
  <c r="F35" i="2" s="1"/>
  <c r="C35" i="3" s="1"/>
  <c r="D36" i="2" l="1"/>
  <c r="C37" i="2" s="1"/>
  <c r="E36" i="2"/>
  <c r="F36" i="2" s="1"/>
  <c r="C36" i="3" s="1"/>
  <c r="E37" i="2" l="1"/>
  <c r="F37" i="2" s="1"/>
  <c r="C37" i="3" s="1"/>
  <c r="D37" i="2"/>
  <c r="C38" i="2" s="1"/>
  <c r="E38" i="2" l="1"/>
  <c r="D38" i="2"/>
  <c r="C39" i="2" s="1"/>
  <c r="D39" i="2" l="1"/>
  <c r="C40" i="2" s="1"/>
  <c r="E39" i="2"/>
  <c r="F38" i="2"/>
  <c r="C38" i="3" s="1"/>
  <c r="E40" i="2" l="1"/>
  <c r="D40" i="2"/>
  <c r="C41" i="2" s="1"/>
  <c r="F39" i="2"/>
  <c r="C39" i="3" s="1"/>
  <c r="E41" i="2" l="1"/>
  <c r="D41" i="2"/>
  <c r="C42" i="2" s="1"/>
  <c r="F40" i="2"/>
  <c r="C40" i="3" s="1"/>
  <c r="E42" i="2" l="1"/>
  <c r="F42" i="2" s="1"/>
  <c r="C42" i="3" s="1"/>
  <c r="D42" i="2"/>
  <c r="C43" i="2" s="1"/>
  <c r="F41" i="2"/>
  <c r="C41" i="3" s="1"/>
  <c r="D43" i="2" l="1"/>
  <c r="C44" i="2" s="1"/>
  <c r="E43" i="2"/>
  <c r="D44" i="2" l="1"/>
  <c r="C45" i="2" s="1"/>
  <c r="E44" i="2"/>
  <c r="F43" i="2"/>
  <c r="C43" i="3" s="1"/>
  <c r="E45" i="2" l="1"/>
  <c r="D45" i="2"/>
  <c r="C46" i="2" s="1"/>
  <c r="F44" i="2"/>
  <c r="C44" i="3" s="1"/>
  <c r="E46" i="2" l="1"/>
  <c r="D46" i="2"/>
  <c r="C47" i="2" s="1"/>
  <c r="F45" i="2"/>
  <c r="C45" i="3" s="1"/>
  <c r="E47" i="2" l="1"/>
  <c r="D47" i="2"/>
  <c r="C48" i="2" s="1"/>
  <c r="F46" i="2"/>
  <c r="C46" i="3" s="1"/>
  <c r="E48" i="2" l="1"/>
  <c r="F48" i="2" s="1"/>
  <c r="C48" i="3" s="1"/>
  <c r="D48" i="2"/>
  <c r="C49" i="2" s="1"/>
  <c r="F47" i="2"/>
  <c r="C47" i="3" s="1"/>
  <c r="D49" i="2" l="1"/>
  <c r="C50" i="2" s="1"/>
  <c r="E49" i="2"/>
  <c r="D50" i="2" l="1"/>
  <c r="C51" i="2" s="1"/>
  <c r="E50" i="2"/>
  <c r="F50" i="2" s="1"/>
  <c r="C50" i="3" s="1"/>
  <c r="F49" i="2"/>
  <c r="C49" i="3" s="1"/>
  <c r="D51" i="2" l="1"/>
  <c r="C52" i="2" s="1"/>
  <c r="E51" i="2"/>
  <c r="D52" i="2" l="1"/>
  <c r="C53" i="2" s="1"/>
  <c r="E52" i="2"/>
  <c r="F52" i="2" s="1"/>
  <c r="C52" i="3" s="1"/>
  <c r="F51" i="2"/>
  <c r="C51" i="3" s="1"/>
  <c r="E53" i="2" l="1"/>
  <c r="D53" i="2"/>
  <c r="C54" i="2" s="1"/>
  <c r="D54" i="2" l="1"/>
  <c r="C55" i="2" s="1"/>
  <c r="E54" i="2"/>
  <c r="F53" i="2"/>
  <c r="C53" i="3" s="1"/>
  <c r="D55" i="2" l="1"/>
  <c r="C56" i="2" s="1"/>
  <c r="E55" i="2"/>
  <c r="F54" i="2"/>
  <c r="C54" i="3" s="1"/>
  <c r="E56" i="2" l="1"/>
  <c r="D56" i="2"/>
  <c r="C57" i="2" s="1"/>
  <c r="F55" i="2"/>
  <c r="C55" i="3" s="1"/>
  <c r="D57" i="2" l="1"/>
  <c r="C58" i="2" s="1"/>
  <c r="E57" i="2"/>
  <c r="F56" i="2"/>
  <c r="C56" i="3" s="1"/>
  <c r="E58" i="2" l="1"/>
  <c r="D58" i="2"/>
  <c r="C59" i="2" s="1"/>
  <c r="F57" i="2"/>
  <c r="C57" i="3" s="1"/>
  <c r="D59" i="2" l="1"/>
  <c r="C60" i="2" s="1"/>
  <c r="E59" i="2"/>
  <c r="F58" i="2"/>
  <c r="C58" i="3" s="1"/>
  <c r="E60" i="2" l="1"/>
  <c r="D60" i="2"/>
  <c r="C61" i="2" s="1"/>
  <c r="F59" i="2"/>
  <c r="C59" i="3" s="1"/>
  <c r="D61" i="2" l="1"/>
  <c r="C62" i="2" s="1"/>
  <c r="E61" i="2"/>
  <c r="F60" i="2"/>
  <c r="C60" i="3" s="1"/>
  <c r="D62" i="2" l="1"/>
  <c r="C63" i="2" s="1"/>
  <c r="E62" i="2"/>
  <c r="F61" i="2"/>
  <c r="C61" i="3" s="1"/>
  <c r="E63" i="2" l="1"/>
  <c r="D63" i="2"/>
  <c r="C64" i="2" s="1"/>
  <c r="F62" i="2"/>
  <c r="C62" i="3" s="1"/>
  <c r="D64" i="2" l="1"/>
  <c r="C65" i="2" s="1"/>
  <c r="E64" i="2"/>
  <c r="F63" i="2"/>
  <c r="C63" i="3" s="1"/>
  <c r="E65" i="2" l="1"/>
  <c r="D65" i="2"/>
  <c r="C66" i="2" s="1"/>
  <c r="F64" i="2"/>
  <c r="C64" i="3" s="1"/>
  <c r="D66" i="2" l="1"/>
  <c r="C67" i="2" s="1"/>
  <c r="E66" i="2"/>
  <c r="F65" i="2"/>
  <c r="C65" i="3" s="1"/>
  <c r="D67" i="2" l="1"/>
  <c r="C68" i="2" s="1"/>
  <c r="E67" i="2"/>
  <c r="F67" i="2" s="1"/>
  <c r="C67" i="3" s="1"/>
  <c r="F66" i="2"/>
  <c r="C66" i="3" s="1"/>
  <c r="E68" i="2" l="1"/>
  <c r="F68" i="2" s="1"/>
  <c r="C68" i="3" s="1"/>
  <c r="D68" i="2"/>
  <c r="C69" i="2" s="1"/>
  <c r="D69" i="2" l="1"/>
  <c r="C70" i="2" s="1"/>
  <c r="E69" i="2"/>
  <c r="F69" i="2" s="1"/>
  <c r="C69" i="3" s="1"/>
  <c r="E70" i="2" l="1"/>
  <c r="D70" i="2"/>
  <c r="C71" i="2" s="1"/>
  <c r="D71" i="2" l="1"/>
  <c r="C72" i="2" s="1"/>
  <c r="E71" i="2"/>
  <c r="F71" i="2" s="1"/>
  <c r="C71" i="3" s="1"/>
  <c r="F70" i="2"/>
  <c r="C70" i="3" s="1"/>
  <c r="E72" i="2" l="1"/>
  <c r="F72" i="2" s="1"/>
  <c r="C72" i="3" s="1"/>
  <c r="D72" i="2"/>
  <c r="C73" i="2" s="1"/>
  <c r="D73" i="2" l="1"/>
  <c r="C74" i="2" s="1"/>
  <c r="E73" i="2"/>
  <c r="E74" i="2" l="1"/>
  <c r="F74" i="2" s="1"/>
  <c r="C74" i="3" s="1"/>
  <c r="D74" i="2"/>
  <c r="C75" i="2" s="1"/>
  <c r="F73" i="2"/>
  <c r="C73" i="3" s="1"/>
  <c r="D75" i="2" l="1"/>
  <c r="C76" i="2" s="1"/>
  <c r="E75" i="2"/>
  <c r="D76" i="2" l="1"/>
  <c r="C77" i="2" s="1"/>
  <c r="E76" i="2"/>
  <c r="F75" i="2"/>
  <c r="C75" i="3" s="1"/>
  <c r="E77" i="2" l="1"/>
  <c r="D77" i="2"/>
  <c r="C78" i="2" s="1"/>
  <c r="F76" i="2"/>
  <c r="C76" i="3" s="1"/>
  <c r="E78" i="2" l="1"/>
  <c r="F78" i="2" s="1"/>
  <c r="C78" i="3" s="1"/>
  <c r="D78" i="2"/>
  <c r="C79" i="2" s="1"/>
  <c r="F77" i="2"/>
  <c r="C77" i="3" s="1"/>
  <c r="E79" i="2" l="1"/>
  <c r="D79" i="2"/>
  <c r="C80" i="2" s="1"/>
  <c r="D80" i="2" l="1"/>
  <c r="C81" i="2" s="1"/>
  <c r="E80" i="2"/>
  <c r="F80" i="2" s="1"/>
  <c r="C80" i="3" s="1"/>
  <c r="F79" i="2"/>
  <c r="C79" i="3" s="1"/>
  <c r="E81" i="2" l="1"/>
  <c r="F81" i="2" s="1"/>
  <c r="C81" i="3" s="1"/>
  <c r="D81" i="2"/>
  <c r="C82" i="2" s="1"/>
  <c r="D82" i="2" l="1"/>
  <c r="C83" i="2" s="1"/>
  <c r="E82" i="2"/>
  <c r="E83" i="2" l="1"/>
  <c r="D83" i="2"/>
  <c r="C84" i="2" s="1"/>
  <c r="F82" i="2"/>
  <c r="C82" i="3" s="1"/>
  <c r="D84" i="2" l="1"/>
  <c r="C85" i="2" s="1"/>
  <c r="E84" i="2"/>
  <c r="F84" i="2" s="1"/>
  <c r="C84" i="3" s="1"/>
  <c r="F83" i="2"/>
  <c r="C83" i="3" s="1"/>
  <c r="E85" i="2" l="1"/>
  <c r="D85" i="2"/>
  <c r="C86" i="2" s="1"/>
  <c r="E86" i="2" l="1"/>
  <c r="F86" i="2" s="1"/>
  <c r="C86" i="3" s="1"/>
  <c r="D86" i="2"/>
  <c r="C87" i="2" s="1"/>
  <c r="F85" i="2"/>
  <c r="C85" i="3" s="1"/>
  <c r="D87" i="2" l="1"/>
  <c r="C88" i="2" s="1"/>
  <c r="E87" i="2"/>
  <c r="F87" i="2" s="1"/>
  <c r="C87" i="3" s="1"/>
  <c r="E88" i="2" l="1"/>
  <c r="D88" i="2"/>
  <c r="C89" i="2" s="1"/>
  <c r="D89" i="2" l="1"/>
  <c r="C90" i="2" s="1"/>
  <c r="E89" i="2"/>
  <c r="F89" i="2" s="1"/>
  <c r="C89" i="3" s="1"/>
  <c r="F88" i="2"/>
  <c r="C88" i="3" s="1"/>
  <c r="D90" i="2" l="1"/>
  <c r="C91" i="2" s="1"/>
  <c r="E90" i="2"/>
  <c r="D91" i="2" l="1"/>
  <c r="C92" i="2" s="1"/>
  <c r="E91" i="2"/>
  <c r="F90" i="2"/>
  <c r="C90" i="3" s="1"/>
  <c r="D92" i="2" l="1"/>
  <c r="C93" i="2" s="1"/>
  <c r="E92" i="2"/>
  <c r="F91" i="2"/>
  <c r="C91" i="3" s="1"/>
  <c r="D93" i="2" l="1"/>
  <c r="C94" i="2" s="1"/>
  <c r="E93" i="2"/>
  <c r="F92" i="2"/>
  <c r="C92" i="3" s="1"/>
  <c r="F93" i="2" l="1"/>
  <c r="C93" i="3" s="1"/>
  <c r="D94" i="2"/>
  <c r="E94" i="2"/>
  <c r="C95" i="2"/>
  <c r="D95" i="2" l="1"/>
  <c r="C96" i="2" s="1"/>
  <c r="E95" i="2"/>
  <c r="F94" i="2"/>
  <c r="C94" i="3" s="1"/>
  <c r="E96" i="2" l="1"/>
  <c r="D96" i="2"/>
  <c r="C97" i="2"/>
  <c r="F95" i="2"/>
  <c r="C95" i="3" s="1"/>
  <c r="D97" i="2" l="1"/>
  <c r="C98" i="2" s="1"/>
  <c r="E97" i="2"/>
  <c r="F97" i="2" s="1"/>
  <c r="C97" i="3" s="1"/>
  <c r="F96" i="2"/>
  <c r="C96" i="3" s="1"/>
  <c r="D98" i="2" l="1"/>
  <c r="C99" i="2" s="1"/>
  <c r="E98" i="2"/>
  <c r="D99" i="2" l="1"/>
  <c r="C100" i="2" s="1"/>
  <c r="E99" i="2"/>
  <c r="F98" i="2"/>
  <c r="C98" i="3" s="1"/>
  <c r="E100" i="2" l="1"/>
  <c r="D100" i="2"/>
  <c r="C101" i="2" s="1"/>
  <c r="F99" i="2"/>
  <c r="C99" i="3" s="1"/>
  <c r="E101" i="2" l="1"/>
  <c r="D101" i="2"/>
  <c r="C102" i="2"/>
  <c r="F100" i="2"/>
  <c r="C100" i="3" s="1"/>
  <c r="E102" i="2" l="1"/>
  <c r="D102" i="2"/>
  <c r="C103" i="2" s="1"/>
  <c r="F101" i="2"/>
  <c r="C101" i="3" s="1"/>
  <c r="D103" i="2" l="1"/>
  <c r="C104" i="2" s="1"/>
  <c r="E103" i="2"/>
  <c r="F102" i="2"/>
  <c r="C102" i="3" s="1"/>
  <c r="E104" i="2" l="1"/>
  <c r="D104" i="2"/>
  <c r="C105" i="2" s="1"/>
  <c r="F103" i="2"/>
  <c r="C103" i="3" s="1"/>
  <c r="D105" i="2" l="1"/>
  <c r="C106" i="2" s="1"/>
  <c r="E105" i="2"/>
  <c r="F105" i="2" s="1"/>
  <c r="C105" i="3" s="1"/>
  <c r="F104" i="2"/>
  <c r="C104" i="3" s="1"/>
  <c r="D106" i="2" l="1"/>
  <c r="C107" i="2" s="1"/>
  <c r="E106" i="2"/>
  <c r="F106" i="2" s="1"/>
  <c r="C106" i="3" s="1"/>
  <c r="E107" i="2" l="1"/>
  <c r="D107" i="2"/>
  <c r="C108" i="2" s="1"/>
  <c r="E108" i="2" l="1"/>
  <c r="D108" i="2"/>
  <c r="C109" i="2" s="1"/>
  <c r="F107" i="2"/>
  <c r="C107" i="3" s="1"/>
  <c r="E109" i="2" l="1"/>
  <c r="D109" i="2"/>
  <c r="C110" i="2" s="1"/>
  <c r="F108" i="2"/>
  <c r="C108" i="3" s="1"/>
  <c r="F109" i="2" l="1"/>
  <c r="C109" i="3" s="1"/>
  <c r="D110" i="2"/>
  <c r="C111" i="2" s="1"/>
  <c r="E110" i="2"/>
  <c r="D111" i="2" l="1"/>
  <c r="C112" i="2" s="1"/>
  <c r="E111" i="2"/>
  <c r="F110" i="2"/>
  <c r="C110" i="3" s="1"/>
  <c r="E112" i="2" l="1"/>
  <c r="D112" i="2"/>
  <c r="C113" i="2" s="1"/>
  <c r="F111" i="2"/>
  <c r="C111" i="3" s="1"/>
  <c r="E113" i="2" l="1"/>
  <c r="D113" i="2"/>
  <c r="C114" i="2" s="1"/>
  <c r="F112" i="2"/>
  <c r="C112" i="3" s="1"/>
  <c r="D114" i="2" l="1"/>
  <c r="C115" i="2" s="1"/>
  <c r="E114" i="2"/>
  <c r="F113" i="2"/>
  <c r="C113" i="3" s="1"/>
  <c r="D115" i="2" l="1"/>
  <c r="C116" i="2" s="1"/>
  <c r="E115" i="2"/>
  <c r="F114" i="2"/>
  <c r="C114" i="3" s="1"/>
  <c r="D116" i="2" l="1"/>
  <c r="C117" i="2" s="1"/>
  <c r="E116" i="2"/>
  <c r="F115" i="2"/>
  <c r="C115" i="3" s="1"/>
  <c r="F116" i="2" l="1"/>
  <c r="C116" i="3" s="1"/>
  <c r="E117" i="2"/>
  <c r="D117" i="2"/>
  <c r="C118" i="2" s="1"/>
  <c r="E118" i="2" l="1"/>
  <c r="D118" i="2"/>
  <c r="C119" i="2" s="1"/>
  <c r="F117" i="2"/>
  <c r="C117" i="3" s="1"/>
  <c r="E119" i="2" l="1"/>
  <c r="D119" i="2"/>
  <c r="C120" i="2"/>
  <c r="F118" i="2"/>
  <c r="C118" i="3" s="1"/>
  <c r="E120" i="2" l="1"/>
  <c r="D120" i="2"/>
  <c r="C121" i="2" s="1"/>
  <c r="F119" i="2"/>
  <c r="C119" i="3" s="1"/>
  <c r="D121" i="2" l="1"/>
  <c r="C122" i="2" s="1"/>
  <c r="E121" i="2"/>
  <c r="F120" i="2"/>
  <c r="C120" i="3" s="1"/>
  <c r="D122" i="2" l="1"/>
  <c r="C123" i="2" s="1"/>
  <c r="E122" i="2"/>
  <c r="F122" i="2" s="1"/>
  <c r="C122" i="3" s="1"/>
  <c r="F121" i="2"/>
  <c r="C121" i="3" s="1"/>
  <c r="D123" i="2" l="1"/>
  <c r="C124" i="2" s="1"/>
  <c r="E123" i="2"/>
  <c r="F123" i="2" s="1"/>
  <c r="C123" i="3" s="1"/>
  <c r="E124" i="2" l="1"/>
  <c r="D124" i="2"/>
  <c r="C125" i="2" s="1"/>
  <c r="E125" i="2" l="1"/>
  <c r="F125" i="2" s="1"/>
  <c r="C125" i="3" s="1"/>
  <c r="D125" i="2"/>
  <c r="C126" i="2" s="1"/>
  <c r="F124" i="2"/>
  <c r="C124" i="3" s="1"/>
  <c r="D126" i="2" l="1"/>
  <c r="C127" i="2" s="1"/>
  <c r="E126" i="2"/>
  <c r="F126" i="2" s="1"/>
  <c r="C126" i="3" s="1"/>
  <c r="D127" i="2" l="1"/>
  <c r="C128" i="2" s="1"/>
  <c r="E127" i="2"/>
  <c r="F127" i="2" s="1"/>
  <c r="C127" i="3" s="1"/>
  <c r="D128" i="2" l="1"/>
  <c r="E128" i="2"/>
  <c r="F128" i="2" s="1"/>
  <c r="C128" i="3" s="1"/>
</calcChain>
</file>

<file path=xl/sharedStrings.xml><?xml version="1.0" encoding="utf-8"?>
<sst xmlns="http://schemas.openxmlformats.org/spreadsheetml/2006/main" count="24" uniqueCount="20">
  <si>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</si>
  <si>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</si>
  <si>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</si>
  <si>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</si>
  <si>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</si>
  <si>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2026-10-20 3:02 pm CDT</t>
  </si>
  <si>
    <t>GBRPREND401IXEBQ</t>
  </si>
  <si>
    <t>Production: Energy: Production and distribution of electricity, gas, steam and air conditioning: Total for the United Kingdom, Index 2015=100, Quarterly, Not Seasonally Adjusted</t>
  </si>
  <si>
    <t>Data Updated: 2020-12-10</t>
  </si>
  <si>
    <t>observation_date</t>
  </si>
  <si>
    <t>alpha</t>
  </si>
  <si>
    <t>beta</t>
  </si>
  <si>
    <t>gamma</t>
  </si>
  <si>
    <t>a_t</t>
  </si>
  <si>
    <t>b_t</t>
  </si>
  <si>
    <t>s_t</t>
  </si>
  <si>
    <t>x_t</t>
  </si>
  <si>
    <t>xhat_t</t>
  </si>
  <si>
    <t>Organization for Economic Co-operation and Development, Production: Energy: Production and distribution of electricity, gas, steam and air conditioning: Total for the United Kingdom [GBRPREND401IXEBQ], retrieved from FRED, Federal Reserve Bank of St. Louis; https://fred.stlouisfed.org/series/GBRPREND401IXEBQ, October 20, 2026.</t>
  </si>
  <si>
    <t>Initial slope estimates for b_1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</si>
</sst>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2" fontId="0" fillId="0" borderId="0" xfId="0" applyNumberFormat="1"/>
    <xf numFmtId="2" fontId="0" fillId="0" borderId="0" xfId="0" quotePrefix="1" applyNumberFormat="1"/>
    <xf numFmtId="0" fontId="1" fillId="0" borderId="0" xfId="0" applyFont="1" applyBorder="1" applyAlignment="1">
      <alignment horizontal="center" vertical="top"/>
    </xf>
    <xf numFmtId="2" fontId="1" fillId="0" borderId="0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Holt-Winters</a:t>
            </a:r>
            <a:r>
              <a:rPr lang="en-US" baseline="0"/>
              <a:t> Filtering</a:t>
            </a:r>
            <a:br>
              <a:rPr lang="en-US" baseline="0"/>
            </a:br>
            <a:r>
              <a:rPr lang="en-US" baseline="0"/>
              <a:t>Quarterly Production and Distribution of Electricity, Gas, Steam and Air Conditioning in the United Kingdom, Indexed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'TS Plot'!$B$1</c:f>
              <c:strCache>
                <c:ptCount val="1"/>
                <c:pt idx="0">
                  <c:v>x_t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'TS Plot'!$A$2:$A$128</c:f>
              <c:strCache>
                <c:ptCount val="127"/>
                <c:pt idx="0">
                  <c:v>GBRPREND401IXEBQ</c:v>
                </c:pt>
                <c:pt idx="4">
                  <c:v>1/1/1990</c:v>
                </c:pt>
                <c:pt idx="5">
                  <c:v>4/1/1990</c:v>
                </c:pt>
                <c:pt idx="6">
                  <c:v>7/1/1990</c:v>
                </c:pt>
                <c:pt idx="7">
                  <c:v>10/1/1990</c:v>
                </c:pt>
                <c:pt idx="8">
                  <c:v>1/1/1991</c:v>
                </c:pt>
                <c:pt idx="9">
                  <c:v>4/1/1991</c:v>
                </c:pt>
                <c:pt idx="10">
                  <c:v>7/1/1991</c:v>
                </c:pt>
                <c:pt idx="11">
                  <c:v>10/1/1991</c:v>
                </c:pt>
                <c:pt idx="12">
                  <c:v>1/1/1992</c:v>
                </c:pt>
                <c:pt idx="13">
                  <c:v>4/1/1992</c:v>
                </c:pt>
                <c:pt idx="14">
                  <c:v>7/1/1992</c:v>
                </c:pt>
                <c:pt idx="15">
                  <c:v>10/1/1992</c:v>
                </c:pt>
                <c:pt idx="16">
                  <c:v>1/1/1993</c:v>
                </c:pt>
                <c:pt idx="17">
                  <c:v>4/1/1993</c:v>
                </c:pt>
                <c:pt idx="18">
                  <c:v>7/1/1993</c:v>
                </c:pt>
                <c:pt idx="19">
                  <c:v>10/1/1993</c:v>
                </c:pt>
                <c:pt idx="20">
                  <c:v>1/1/1994</c:v>
                </c:pt>
                <c:pt idx="21">
                  <c:v>4/1/1994</c:v>
                </c:pt>
                <c:pt idx="22">
                  <c:v>7/1/1994</c:v>
                </c:pt>
                <c:pt idx="23">
                  <c:v>10/1/1994</c:v>
                </c:pt>
                <c:pt idx="24">
                  <c:v>1/1/1995</c:v>
                </c:pt>
                <c:pt idx="25">
                  <c:v>4/1/1995</c:v>
                </c:pt>
                <c:pt idx="26">
                  <c:v>7/1/1995</c:v>
                </c:pt>
                <c:pt idx="27">
                  <c:v>10/1/1995</c:v>
                </c:pt>
                <c:pt idx="28">
                  <c:v>1/1/1996</c:v>
                </c:pt>
                <c:pt idx="29">
                  <c:v>4/1/1996</c:v>
                </c:pt>
                <c:pt idx="30">
                  <c:v>7/1/1996</c:v>
                </c:pt>
                <c:pt idx="31">
                  <c:v>10/1/1996</c:v>
                </c:pt>
                <c:pt idx="32">
                  <c:v>1/1/1997</c:v>
                </c:pt>
                <c:pt idx="33">
                  <c:v>4/1/1997</c:v>
                </c:pt>
                <c:pt idx="34">
                  <c:v>7/1/1997</c:v>
                </c:pt>
                <c:pt idx="35">
                  <c:v>10/1/1997</c:v>
                </c:pt>
                <c:pt idx="36">
                  <c:v>1/1/1998</c:v>
                </c:pt>
                <c:pt idx="37">
                  <c:v>4/1/1998</c:v>
                </c:pt>
                <c:pt idx="38">
                  <c:v>7/1/1998</c:v>
                </c:pt>
                <c:pt idx="39">
                  <c:v>10/1/1998</c:v>
                </c:pt>
                <c:pt idx="40">
                  <c:v>1/1/1999</c:v>
                </c:pt>
                <c:pt idx="41">
                  <c:v>4/1/1999</c:v>
                </c:pt>
                <c:pt idx="42">
                  <c:v>7/1/1999</c:v>
                </c:pt>
                <c:pt idx="43">
                  <c:v>10/1/1999</c:v>
                </c:pt>
                <c:pt idx="44">
                  <c:v>1/1/2000</c:v>
                </c:pt>
                <c:pt idx="45">
                  <c:v>4/1/2000</c:v>
                </c:pt>
                <c:pt idx="46">
                  <c:v>7/1/2000</c:v>
                </c:pt>
                <c:pt idx="47">
                  <c:v>10/1/2000</c:v>
                </c:pt>
                <c:pt idx="48">
                  <c:v>1/1/2001</c:v>
                </c:pt>
                <c:pt idx="49">
                  <c:v>4/1/2001</c:v>
                </c:pt>
                <c:pt idx="50">
                  <c:v>7/1/2001</c:v>
                </c:pt>
                <c:pt idx="51">
                  <c:v>10/1/2001</c:v>
                </c:pt>
                <c:pt idx="52">
                  <c:v>1/1/2002</c:v>
                </c:pt>
                <c:pt idx="53">
                  <c:v>4/1/2002</c:v>
                </c:pt>
                <c:pt idx="54">
                  <c:v>7/1/2002</c:v>
                </c:pt>
                <c:pt idx="55">
                  <c:v>10/1/2002</c:v>
                </c:pt>
                <c:pt idx="56">
                  <c:v>1/1/2003</c:v>
                </c:pt>
                <c:pt idx="57">
                  <c:v>4/1/2003</c:v>
                </c:pt>
                <c:pt idx="58">
                  <c:v>7/1/2003</c:v>
                </c:pt>
                <c:pt idx="59">
                  <c:v>10/1/2003</c:v>
                </c:pt>
                <c:pt idx="60">
                  <c:v>1/1/2004</c:v>
                </c:pt>
                <c:pt idx="61">
                  <c:v>4/1/2004</c:v>
                </c:pt>
                <c:pt idx="62">
                  <c:v>7/1/2004</c:v>
                </c:pt>
                <c:pt idx="63">
                  <c:v>10/1/2004</c:v>
                </c:pt>
                <c:pt idx="64">
                  <c:v>1/1/2005</c:v>
                </c:pt>
                <c:pt idx="65">
                  <c:v>4/1/2005</c:v>
                </c:pt>
                <c:pt idx="66">
                  <c:v>7/1/2005</c:v>
                </c:pt>
                <c:pt idx="67">
                  <c:v>10/1/2005</c:v>
                </c:pt>
                <c:pt idx="68">
                  <c:v>1/1/2006</c:v>
                </c:pt>
                <c:pt idx="69">
                  <c:v>4/1/2006</c:v>
                </c:pt>
                <c:pt idx="70">
                  <c:v>7/1/2006</c:v>
                </c:pt>
                <c:pt idx="71">
                  <c:v>10/1/2006</c:v>
                </c:pt>
                <c:pt idx="72">
                  <c:v>1/1/2007</c:v>
                </c:pt>
                <c:pt idx="73">
                  <c:v>4/1/2007</c:v>
                </c:pt>
                <c:pt idx="74">
                  <c:v>7/1/2007</c:v>
                </c:pt>
                <c:pt idx="75">
                  <c:v>10/1/2007</c:v>
                </c:pt>
                <c:pt idx="76">
                  <c:v>1/1/2008</c:v>
                </c:pt>
                <c:pt idx="77">
                  <c:v>4/1/2008</c:v>
                </c:pt>
                <c:pt idx="78">
                  <c:v>7/1/2008</c:v>
                </c:pt>
                <c:pt idx="79">
                  <c:v>10/1/2008</c:v>
                </c:pt>
                <c:pt idx="80">
                  <c:v>1/1/2009</c:v>
                </c:pt>
                <c:pt idx="81">
                  <c:v>4/1/2009</c:v>
                </c:pt>
                <c:pt idx="82">
                  <c:v>7/1/2009</c:v>
                </c:pt>
                <c:pt idx="83">
                  <c:v>10/1/2009</c:v>
                </c:pt>
                <c:pt idx="84">
                  <c:v>1/1/2010</c:v>
                </c:pt>
                <c:pt idx="85">
                  <c:v>4/1/2010</c:v>
                </c:pt>
                <c:pt idx="86">
                  <c:v>7/1/2010</c:v>
                </c:pt>
                <c:pt idx="87">
                  <c:v>10/1/2010</c:v>
                </c:pt>
                <c:pt idx="88">
                  <c:v>1/1/2011</c:v>
                </c:pt>
                <c:pt idx="89">
                  <c:v>4/1/2011</c:v>
                </c:pt>
                <c:pt idx="90">
                  <c:v>7/1/2011</c:v>
                </c:pt>
                <c:pt idx="91">
                  <c:v>10/1/2011</c:v>
                </c:pt>
                <c:pt idx="92">
                  <c:v>1/1/2012</c:v>
                </c:pt>
                <c:pt idx="93">
                  <c:v>4/1/2012</c:v>
                </c:pt>
                <c:pt idx="94">
                  <c:v>7/1/2012</c:v>
                </c:pt>
                <c:pt idx="95">
                  <c:v>10/1/2012</c:v>
                </c:pt>
                <c:pt idx="96">
                  <c:v>1/1/2013</c:v>
                </c:pt>
                <c:pt idx="97">
                  <c:v>4/1/2013</c:v>
                </c:pt>
                <c:pt idx="98">
                  <c:v>7/1/2013</c:v>
                </c:pt>
                <c:pt idx="99">
                  <c:v>10/1/2013</c:v>
                </c:pt>
                <c:pt idx="100">
                  <c:v>1/1/2014</c:v>
                </c:pt>
                <c:pt idx="101">
                  <c:v>4/1/2014</c:v>
                </c:pt>
                <c:pt idx="102">
                  <c:v>7/1/2014</c:v>
                </c:pt>
                <c:pt idx="103">
                  <c:v>10/1/2014</c:v>
                </c:pt>
                <c:pt idx="104">
                  <c:v>1/1/2015</c:v>
                </c:pt>
                <c:pt idx="105">
                  <c:v>4/1/2015</c:v>
                </c:pt>
                <c:pt idx="106">
                  <c:v>7/1/2015</c:v>
                </c:pt>
                <c:pt idx="107">
                  <c:v>10/1/2015</c:v>
                </c:pt>
                <c:pt idx="108">
                  <c:v>1/1/2016</c:v>
                </c:pt>
                <c:pt idx="109">
                  <c:v>4/1/2016</c:v>
                </c:pt>
                <c:pt idx="110">
                  <c:v>7/1/2016</c:v>
                </c:pt>
                <c:pt idx="111">
                  <c:v>10/1/2016</c:v>
                </c:pt>
                <c:pt idx="112">
                  <c:v>1/1/2017</c:v>
                </c:pt>
                <c:pt idx="113">
                  <c:v>4/1/2017</c:v>
                </c:pt>
                <c:pt idx="114">
                  <c:v>7/1/2017</c:v>
                </c:pt>
                <c:pt idx="115">
                  <c:v>10/1/2017</c:v>
                </c:pt>
                <c:pt idx="116">
                  <c:v>1/1/2018</c:v>
                </c:pt>
                <c:pt idx="117">
                  <c:v>4/1/2018</c:v>
                </c:pt>
                <c:pt idx="118">
                  <c:v>7/1/2018</c:v>
                </c:pt>
                <c:pt idx="119">
                  <c:v>10/1/2018</c:v>
                </c:pt>
                <c:pt idx="120">
                  <c:v>1/1/2019</c:v>
                </c:pt>
                <c:pt idx="121">
                  <c:v>4/1/2019</c:v>
                </c:pt>
                <c:pt idx="122">
                  <c:v>7/1/2019</c:v>
                </c:pt>
                <c:pt idx="123">
                  <c:v>10/1/2019</c:v>
                </c:pt>
                <c:pt idx="124">
                  <c:v>1/1/2020</c:v>
                </c:pt>
                <c:pt idx="125">
                  <c:v>4/1/2020</c:v>
                </c:pt>
                <c:pt idx="126">
                  <c:v>7/1/2020</c:v>
                </c:pt>
              </c:strCache>
            </c:strRef>
          </c:cat>
          <c:val>
            <c:numRef>
              <c:f>'TS Plot'!$B$2:$B$128</c:f>
              <c:numCache>
                <c:formatCode>General</c:formatCode>
                <c:ptCount val="127"/>
                <c:pt idx="4">
                  <c:v>91.975329260013595</c:v>
                </c:pt>
                <c:pt idx="5">
                  <c:v>66.359558723693098</c:v>
                </c:pt>
                <c:pt idx="6">
                  <c:v>55.268194161575003</c:v>
                </c:pt>
                <c:pt idx="7">
                  <c:v>88.089579090291906</c:v>
                </c:pt>
                <c:pt idx="8">
                  <c:v>102.34990495587201</c:v>
                </c:pt>
                <c:pt idx="9">
                  <c:v>71.942966734555299</c:v>
                </c:pt>
                <c:pt idx="10">
                  <c:v>54.8909368635438</c:v>
                </c:pt>
                <c:pt idx="11">
                  <c:v>91.069911744738604</c:v>
                </c:pt>
                <c:pt idx="12">
                  <c:v>103.066693822132</c:v>
                </c:pt>
                <c:pt idx="13">
                  <c:v>68.887182620502401</c:v>
                </c:pt>
                <c:pt idx="14">
                  <c:v>59.757556008146601</c:v>
                </c:pt>
                <c:pt idx="15">
                  <c:v>96.426965376782107</c:v>
                </c:pt>
                <c:pt idx="16">
                  <c:v>103.55712830957199</c:v>
                </c:pt>
                <c:pt idx="17">
                  <c:v>73.376544467073998</c:v>
                </c:pt>
                <c:pt idx="18">
                  <c:v>63.907386286490201</c:v>
                </c:pt>
                <c:pt idx="19">
                  <c:v>104.462545824847</c:v>
                </c:pt>
                <c:pt idx="20">
                  <c:v>102.6894365241</c:v>
                </c:pt>
                <c:pt idx="21">
                  <c:v>75.149653767820794</c:v>
                </c:pt>
                <c:pt idx="22">
                  <c:v>64.888255261371398</c:v>
                </c:pt>
                <c:pt idx="23">
                  <c:v>91.484894772573</c:v>
                </c:pt>
                <c:pt idx="24">
                  <c:v>106.009300746775</c:v>
                </c:pt>
                <c:pt idx="25">
                  <c:v>75.149653767820794</c:v>
                </c:pt>
                <c:pt idx="26">
                  <c:v>64.397820773930704</c:v>
                </c:pt>
                <c:pt idx="27">
                  <c:v>97.256931432450799</c:v>
                </c:pt>
                <c:pt idx="28">
                  <c:v>113.780801086219</c:v>
                </c:pt>
                <c:pt idx="29">
                  <c:v>81.336673455532903</c:v>
                </c:pt>
                <c:pt idx="30">
                  <c:v>70.698017651052297</c:v>
                </c:pt>
                <c:pt idx="31">
                  <c:v>100.61452138492901</c:v>
                </c:pt>
                <c:pt idx="32">
                  <c:v>111.366354378819</c:v>
                </c:pt>
                <c:pt idx="33">
                  <c:v>82.921154107264101</c:v>
                </c:pt>
                <c:pt idx="34">
                  <c:v>73.866978954514593</c:v>
                </c:pt>
                <c:pt idx="35">
                  <c:v>101.670841819416</c:v>
                </c:pt>
                <c:pt idx="36">
                  <c:v>109.73333333333299</c:v>
                </c:pt>
                <c:pt idx="37">
                  <c:v>83.066666666666606</c:v>
                </c:pt>
                <c:pt idx="38">
                  <c:v>74</c:v>
                </c:pt>
                <c:pt idx="39">
                  <c:v>103.666666666667</c:v>
                </c:pt>
                <c:pt idx="40">
                  <c:v>115.133333333333</c:v>
                </c:pt>
                <c:pt idx="41">
                  <c:v>86.466666666666697</c:v>
                </c:pt>
                <c:pt idx="42">
                  <c:v>77.3</c:v>
                </c:pt>
                <c:pt idx="43">
                  <c:v>107.966666666667</c:v>
                </c:pt>
                <c:pt idx="44">
                  <c:v>118.533333333333</c:v>
                </c:pt>
                <c:pt idx="45">
                  <c:v>92.766666666666694</c:v>
                </c:pt>
                <c:pt idx="46">
                  <c:v>82</c:v>
                </c:pt>
                <c:pt idx="47">
                  <c:v>110.633333333333</c:v>
                </c:pt>
                <c:pt idx="48">
                  <c:v>127.366666666667</c:v>
                </c:pt>
                <c:pt idx="49">
                  <c:v>95.266666666666694</c:v>
                </c:pt>
                <c:pt idx="50">
                  <c:v>84.1</c:v>
                </c:pt>
                <c:pt idx="51">
                  <c:v>111.566666666667</c:v>
                </c:pt>
                <c:pt idx="52">
                  <c:v>123.433333333333</c:v>
                </c:pt>
                <c:pt idx="53">
                  <c:v>94</c:v>
                </c:pt>
                <c:pt idx="54">
                  <c:v>86</c:v>
                </c:pt>
                <c:pt idx="55">
                  <c:v>118.73333333333299</c:v>
                </c:pt>
                <c:pt idx="56">
                  <c:v>123.26666666666701</c:v>
                </c:pt>
                <c:pt idx="57">
                  <c:v>95.433333333333394</c:v>
                </c:pt>
                <c:pt idx="58">
                  <c:v>89.433333333333294</c:v>
                </c:pt>
                <c:pt idx="59">
                  <c:v>120.7</c:v>
                </c:pt>
                <c:pt idx="60">
                  <c:v>133.36666666666699</c:v>
                </c:pt>
                <c:pt idx="61">
                  <c:v>98.466666666666598</c:v>
                </c:pt>
                <c:pt idx="62">
                  <c:v>87.733333333333306</c:v>
                </c:pt>
                <c:pt idx="63">
                  <c:v>116.466666666667</c:v>
                </c:pt>
                <c:pt idx="64">
                  <c:v>130.46666666666701</c:v>
                </c:pt>
                <c:pt idx="65">
                  <c:v>98.733333333333306</c:v>
                </c:pt>
                <c:pt idx="66">
                  <c:v>87.266666666666694</c:v>
                </c:pt>
                <c:pt idx="67">
                  <c:v>118.966666666667</c:v>
                </c:pt>
                <c:pt idx="68">
                  <c:v>135.76666666666699</c:v>
                </c:pt>
                <c:pt idx="69">
                  <c:v>96.5</c:v>
                </c:pt>
                <c:pt idx="70">
                  <c:v>86.5</c:v>
                </c:pt>
                <c:pt idx="71">
                  <c:v>115.533333333333</c:v>
                </c:pt>
                <c:pt idx="72">
                  <c:v>129.19999999999999</c:v>
                </c:pt>
                <c:pt idx="73">
                  <c:v>95.3333333333334</c:v>
                </c:pt>
                <c:pt idx="74">
                  <c:v>89.233333333333306</c:v>
                </c:pt>
                <c:pt idx="75">
                  <c:v>123.466666666667</c:v>
                </c:pt>
                <c:pt idx="76">
                  <c:v>135.36666666666699</c:v>
                </c:pt>
                <c:pt idx="77">
                  <c:v>101.5</c:v>
                </c:pt>
                <c:pt idx="78">
                  <c:v>89.4</c:v>
                </c:pt>
                <c:pt idx="79">
                  <c:v>119</c:v>
                </c:pt>
                <c:pt idx="80">
                  <c:v>130.433333333333</c:v>
                </c:pt>
                <c:pt idx="81">
                  <c:v>96.5</c:v>
                </c:pt>
                <c:pt idx="82">
                  <c:v>90.066666666666606</c:v>
                </c:pt>
                <c:pt idx="83">
                  <c:v>117.76666666666701</c:v>
                </c:pt>
                <c:pt idx="84">
                  <c:v>134.73333333333301</c:v>
                </c:pt>
                <c:pt idx="85">
                  <c:v>98.566666666666706</c:v>
                </c:pt>
                <c:pt idx="86">
                  <c:v>86.6666666666666</c:v>
                </c:pt>
                <c:pt idx="87">
                  <c:v>122.6</c:v>
                </c:pt>
                <c:pt idx="88">
                  <c:v>126.333333333333</c:v>
                </c:pt>
                <c:pt idx="89">
                  <c:v>92.466666666666697</c:v>
                </c:pt>
                <c:pt idx="90">
                  <c:v>88.233333333333306</c:v>
                </c:pt>
                <c:pt idx="91">
                  <c:v>108.3</c:v>
                </c:pt>
                <c:pt idx="92">
                  <c:v>118.466666666667</c:v>
                </c:pt>
                <c:pt idx="93">
                  <c:v>95.7</c:v>
                </c:pt>
                <c:pt idx="94">
                  <c:v>85.8</c:v>
                </c:pt>
                <c:pt idx="95">
                  <c:v>111.966666666667</c:v>
                </c:pt>
                <c:pt idx="96">
                  <c:v>126.133333333333</c:v>
                </c:pt>
                <c:pt idx="97">
                  <c:v>93.6666666666666</c:v>
                </c:pt>
                <c:pt idx="98">
                  <c:v>82.2</c:v>
                </c:pt>
                <c:pt idx="99">
                  <c:v>107.633333333333</c:v>
                </c:pt>
                <c:pt idx="100">
                  <c:v>113.833333333333</c:v>
                </c:pt>
                <c:pt idx="101">
                  <c:v>88.033333333333303</c:v>
                </c:pt>
                <c:pt idx="102">
                  <c:v>84</c:v>
                </c:pt>
                <c:pt idx="103">
                  <c:v>105.833333333333</c:v>
                </c:pt>
                <c:pt idx="104">
                  <c:v>121</c:v>
                </c:pt>
                <c:pt idx="105">
                  <c:v>89.6666666666666</c:v>
                </c:pt>
                <c:pt idx="106">
                  <c:v>83.5</c:v>
                </c:pt>
                <c:pt idx="107">
                  <c:v>105.8</c:v>
                </c:pt>
                <c:pt idx="108">
                  <c:v>120.23333333333299</c:v>
                </c:pt>
                <c:pt idx="109">
                  <c:v>96.266666666666694</c:v>
                </c:pt>
                <c:pt idx="110">
                  <c:v>86.133333333333397</c:v>
                </c:pt>
                <c:pt idx="111">
                  <c:v>111.866666666667</c:v>
                </c:pt>
                <c:pt idx="112">
                  <c:v>117.866666666667</c:v>
                </c:pt>
                <c:pt idx="113">
                  <c:v>91.033333333333303</c:v>
                </c:pt>
                <c:pt idx="114">
                  <c:v>86.7</c:v>
                </c:pt>
                <c:pt idx="115">
                  <c:v>110.366666666667</c:v>
                </c:pt>
                <c:pt idx="116">
                  <c:v>122.833333333333</c:v>
                </c:pt>
                <c:pt idx="117">
                  <c:v>89.133333333333297</c:v>
                </c:pt>
                <c:pt idx="118">
                  <c:v>82.8</c:v>
                </c:pt>
                <c:pt idx="119">
                  <c:v>106.333333333333</c:v>
                </c:pt>
                <c:pt idx="120">
                  <c:v>114.166666666667</c:v>
                </c:pt>
                <c:pt idx="121">
                  <c:v>92.066666666666606</c:v>
                </c:pt>
                <c:pt idx="122">
                  <c:v>84.8333333333334</c:v>
                </c:pt>
                <c:pt idx="123">
                  <c:v>111.9</c:v>
                </c:pt>
                <c:pt idx="124">
                  <c:v>113.966666666667</c:v>
                </c:pt>
                <c:pt idx="125">
                  <c:v>83.7</c:v>
                </c:pt>
                <c:pt idx="126">
                  <c:v>85.233333333333405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C4-4EE6-9B5C-84FD039B6C7D}"/>
            </c:ext>
          </c:extLst>
        </c:ser>
        <c:ser>
          <c:idx val="1"/>
          <c:order val="1"/>
          <c:tx>
            <c:strRef>
              <c:f>'TS Plot'!$C$1</c:f>
              <c:strCache>
                <c:ptCount val="1"/>
                <c:pt idx="0">
                  <c:v>xhat_t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'TS Plot'!$A$2:$A$128</c:f>
              <c:strCache>
                <c:ptCount val="127"/>
                <c:pt idx="0">
                  <c:v>GBRPREND401IXEBQ</c:v>
                </c:pt>
                <c:pt idx="4">
                  <c:v>1/1/1990</c:v>
                </c:pt>
                <c:pt idx="5">
                  <c:v>4/1/1990</c:v>
                </c:pt>
                <c:pt idx="6">
                  <c:v>7/1/1990</c:v>
                </c:pt>
                <c:pt idx="7">
                  <c:v>10/1/1990</c:v>
                </c:pt>
                <c:pt idx="8">
                  <c:v>1/1/1991</c:v>
                </c:pt>
                <c:pt idx="9">
                  <c:v>4/1/1991</c:v>
                </c:pt>
                <c:pt idx="10">
                  <c:v>7/1/1991</c:v>
                </c:pt>
                <c:pt idx="11">
                  <c:v>10/1/1991</c:v>
                </c:pt>
                <c:pt idx="12">
                  <c:v>1/1/1992</c:v>
                </c:pt>
                <c:pt idx="13">
                  <c:v>4/1/1992</c:v>
                </c:pt>
                <c:pt idx="14">
                  <c:v>7/1/1992</c:v>
                </c:pt>
                <c:pt idx="15">
                  <c:v>10/1/1992</c:v>
                </c:pt>
                <c:pt idx="16">
                  <c:v>1/1/1993</c:v>
                </c:pt>
                <c:pt idx="17">
                  <c:v>4/1/1993</c:v>
                </c:pt>
                <c:pt idx="18">
                  <c:v>7/1/1993</c:v>
                </c:pt>
                <c:pt idx="19">
                  <c:v>10/1/1993</c:v>
                </c:pt>
                <c:pt idx="20">
                  <c:v>1/1/1994</c:v>
                </c:pt>
                <c:pt idx="21">
                  <c:v>4/1/1994</c:v>
                </c:pt>
                <c:pt idx="22">
                  <c:v>7/1/1994</c:v>
                </c:pt>
                <c:pt idx="23">
                  <c:v>10/1/1994</c:v>
                </c:pt>
                <c:pt idx="24">
                  <c:v>1/1/1995</c:v>
                </c:pt>
                <c:pt idx="25">
                  <c:v>4/1/1995</c:v>
                </c:pt>
                <c:pt idx="26">
                  <c:v>7/1/1995</c:v>
                </c:pt>
                <c:pt idx="27">
                  <c:v>10/1/1995</c:v>
                </c:pt>
                <c:pt idx="28">
                  <c:v>1/1/1996</c:v>
                </c:pt>
                <c:pt idx="29">
                  <c:v>4/1/1996</c:v>
                </c:pt>
                <c:pt idx="30">
                  <c:v>7/1/1996</c:v>
                </c:pt>
                <c:pt idx="31">
                  <c:v>10/1/1996</c:v>
                </c:pt>
                <c:pt idx="32">
                  <c:v>1/1/1997</c:v>
                </c:pt>
                <c:pt idx="33">
                  <c:v>4/1/1997</c:v>
                </c:pt>
                <c:pt idx="34">
                  <c:v>7/1/1997</c:v>
                </c:pt>
                <c:pt idx="35">
                  <c:v>10/1/1997</c:v>
                </c:pt>
                <c:pt idx="36">
                  <c:v>1/1/1998</c:v>
                </c:pt>
                <c:pt idx="37">
                  <c:v>4/1/1998</c:v>
                </c:pt>
                <c:pt idx="38">
                  <c:v>7/1/1998</c:v>
                </c:pt>
                <c:pt idx="39">
                  <c:v>10/1/1998</c:v>
                </c:pt>
                <c:pt idx="40">
                  <c:v>1/1/1999</c:v>
                </c:pt>
                <c:pt idx="41">
                  <c:v>4/1/1999</c:v>
                </c:pt>
                <c:pt idx="42">
                  <c:v>7/1/1999</c:v>
                </c:pt>
                <c:pt idx="43">
                  <c:v>10/1/1999</c:v>
                </c:pt>
                <c:pt idx="44">
                  <c:v>1/1/2000</c:v>
                </c:pt>
                <c:pt idx="45">
                  <c:v>4/1/2000</c:v>
                </c:pt>
                <c:pt idx="46">
                  <c:v>7/1/2000</c:v>
                </c:pt>
                <c:pt idx="47">
                  <c:v>10/1/2000</c:v>
                </c:pt>
                <c:pt idx="48">
                  <c:v>1/1/2001</c:v>
                </c:pt>
                <c:pt idx="49">
                  <c:v>4/1/2001</c:v>
                </c:pt>
                <c:pt idx="50">
                  <c:v>7/1/2001</c:v>
                </c:pt>
                <c:pt idx="51">
                  <c:v>10/1/2001</c:v>
                </c:pt>
                <c:pt idx="52">
                  <c:v>1/1/2002</c:v>
                </c:pt>
                <c:pt idx="53">
                  <c:v>4/1/2002</c:v>
                </c:pt>
                <c:pt idx="54">
                  <c:v>7/1/2002</c:v>
                </c:pt>
                <c:pt idx="55">
                  <c:v>10/1/2002</c:v>
                </c:pt>
                <c:pt idx="56">
                  <c:v>1/1/2003</c:v>
                </c:pt>
                <c:pt idx="57">
                  <c:v>4/1/2003</c:v>
                </c:pt>
                <c:pt idx="58">
                  <c:v>7/1/2003</c:v>
                </c:pt>
                <c:pt idx="59">
                  <c:v>10/1/2003</c:v>
                </c:pt>
                <c:pt idx="60">
                  <c:v>1/1/2004</c:v>
                </c:pt>
                <c:pt idx="61">
                  <c:v>4/1/2004</c:v>
                </c:pt>
                <c:pt idx="62">
                  <c:v>7/1/2004</c:v>
                </c:pt>
                <c:pt idx="63">
                  <c:v>10/1/2004</c:v>
                </c:pt>
                <c:pt idx="64">
                  <c:v>1/1/2005</c:v>
                </c:pt>
                <c:pt idx="65">
                  <c:v>4/1/2005</c:v>
                </c:pt>
                <c:pt idx="66">
                  <c:v>7/1/2005</c:v>
                </c:pt>
                <c:pt idx="67">
                  <c:v>10/1/2005</c:v>
                </c:pt>
                <c:pt idx="68">
                  <c:v>1/1/2006</c:v>
                </c:pt>
                <c:pt idx="69">
                  <c:v>4/1/2006</c:v>
                </c:pt>
                <c:pt idx="70">
                  <c:v>7/1/2006</c:v>
                </c:pt>
                <c:pt idx="71">
                  <c:v>10/1/2006</c:v>
                </c:pt>
                <c:pt idx="72">
                  <c:v>1/1/2007</c:v>
                </c:pt>
                <c:pt idx="73">
                  <c:v>4/1/2007</c:v>
                </c:pt>
                <c:pt idx="74">
                  <c:v>7/1/2007</c:v>
                </c:pt>
                <c:pt idx="75">
                  <c:v>10/1/2007</c:v>
                </c:pt>
                <c:pt idx="76">
                  <c:v>1/1/2008</c:v>
                </c:pt>
                <c:pt idx="77">
                  <c:v>4/1/2008</c:v>
                </c:pt>
                <c:pt idx="78">
                  <c:v>7/1/2008</c:v>
                </c:pt>
                <c:pt idx="79">
                  <c:v>10/1/2008</c:v>
                </c:pt>
                <c:pt idx="80">
                  <c:v>1/1/2009</c:v>
                </c:pt>
                <c:pt idx="81">
                  <c:v>4/1/2009</c:v>
                </c:pt>
                <c:pt idx="82">
                  <c:v>7/1/2009</c:v>
                </c:pt>
                <c:pt idx="83">
                  <c:v>10/1/2009</c:v>
                </c:pt>
                <c:pt idx="84">
                  <c:v>1/1/2010</c:v>
                </c:pt>
                <c:pt idx="85">
                  <c:v>4/1/2010</c:v>
                </c:pt>
                <c:pt idx="86">
                  <c:v>7/1/2010</c:v>
                </c:pt>
                <c:pt idx="87">
                  <c:v>10/1/2010</c:v>
                </c:pt>
                <c:pt idx="88">
                  <c:v>1/1/2011</c:v>
                </c:pt>
                <c:pt idx="89">
                  <c:v>4/1/2011</c:v>
                </c:pt>
                <c:pt idx="90">
                  <c:v>7/1/2011</c:v>
                </c:pt>
                <c:pt idx="91">
                  <c:v>10/1/2011</c:v>
                </c:pt>
                <c:pt idx="92">
                  <c:v>1/1/2012</c:v>
                </c:pt>
                <c:pt idx="93">
                  <c:v>4/1/2012</c:v>
                </c:pt>
                <c:pt idx="94">
                  <c:v>7/1/2012</c:v>
                </c:pt>
                <c:pt idx="95">
                  <c:v>10/1/2012</c:v>
                </c:pt>
                <c:pt idx="96">
                  <c:v>1/1/2013</c:v>
                </c:pt>
                <c:pt idx="97">
                  <c:v>4/1/2013</c:v>
                </c:pt>
                <c:pt idx="98">
                  <c:v>7/1/2013</c:v>
                </c:pt>
                <c:pt idx="99">
                  <c:v>10/1/2013</c:v>
                </c:pt>
                <c:pt idx="100">
                  <c:v>1/1/2014</c:v>
                </c:pt>
                <c:pt idx="101">
                  <c:v>4/1/2014</c:v>
                </c:pt>
                <c:pt idx="102">
                  <c:v>7/1/2014</c:v>
                </c:pt>
                <c:pt idx="103">
                  <c:v>10/1/2014</c:v>
                </c:pt>
                <c:pt idx="104">
                  <c:v>1/1/2015</c:v>
                </c:pt>
                <c:pt idx="105">
                  <c:v>4/1/2015</c:v>
                </c:pt>
                <c:pt idx="106">
                  <c:v>7/1/2015</c:v>
                </c:pt>
                <c:pt idx="107">
                  <c:v>10/1/2015</c:v>
                </c:pt>
                <c:pt idx="108">
                  <c:v>1/1/2016</c:v>
                </c:pt>
                <c:pt idx="109">
                  <c:v>4/1/2016</c:v>
                </c:pt>
                <c:pt idx="110">
                  <c:v>7/1/2016</c:v>
                </c:pt>
                <c:pt idx="111">
                  <c:v>10/1/2016</c:v>
                </c:pt>
                <c:pt idx="112">
                  <c:v>1/1/2017</c:v>
                </c:pt>
                <c:pt idx="113">
                  <c:v>4/1/2017</c:v>
                </c:pt>
                <c:pt idx="114">
                  <c:v>7/1/2017</c:v>
                </c:pt>
                <c:pt idx="115">
                  <c:v>10/1/2017</c:v>
                </c:pt>
                <c:pt idx="116">
                  <c:v>1/1/2018</c:v>
                </c:pt>
                <c:pt idx="117">
                  <c:v>4/1/2018</c:v>
                </c:pt>
                <c:pt idx="118">
                  <c:v>7/1/2018</c:v>
                </c:pt>
                <c:pt idx="119">
                  <c:v>10/1/2018</c:v>
                </c:pt>
                <c:pt idx="120">
                  <c:v>1/1/2019</c:v>
                </c:pt>
                <c:pt idx="121">
                  <c:v>4/1/2019</c:v>
                </c:pt>
                <c:pt idx="122">
                  <c:v>7/1/2019</c:v>
                </c:pt>
                <c:pt idx="123">
                  <c:v>10/1/2019</c:v>
                </c:pt>
                <c:pt idx="124">
                  <c:v>1/1/2020</c:v>
                </c:pt>
                <c:pt idx="125">
                  <c:v>4/1/2020</c:v>
                </c:pt>
                <c:pt idx="126">
                  <c:v>7/1/2020</c:v>
                </c:pt>
              </c:strCache>
            </c:strRef>
          </c:cat>
          <c:val>
            <c:numRef>
              <c:f>'TS Plot'!$C$2:$C$128</c:f>
              <c:numCache>
                <c:formatCode>General</c:formatCode>
                <c:ptCount val="127"/>
                <c:pt idx="4" formatCode="0.00">
                  <c:v>91.975329260013595</c:v>
                </c:pt>
                <c:pt idx="5" formatCode="0.00">
                  <c:v>83.496094229463665</c:v>
                </c:pt>
                <c:pt idx="6" formatCode="0.00">
                  <c:v>76.132876828241649</c:v>
                </c:pt>
                <c:pt idx="7" formatCode="0.00">
                  <c:v>82.998032504874359</c:v>
                </c:pt>
                <c:pt idx="8" formatCode="0.00">
                  <c:v>88.576114632611365</c:v>
                </c:pt>
                <c:pt idx="9" formatCode="0.00">
                  <c:v>77.619536368641278</c:v>
                </c:pt>
                <c:pt idx="10" formatCode="0.00">
                  <c:v>69.498932469128206</c:v>
                </c:pt>
                <c:pt idx="11" formatCode="0.00">
                  <c:v>82.920385487963202</c:v>
                </c:pt>
                <c:pt idx="12" formatCode="0.00">
                  <c:v>89.74989683789407</c:v>
                </c:pt>
                <c:pt idx="13" formatCode="0.00">
                  <c:v>74.279006360085063</c:v>
                </c:pt>
                <c:pt idx="14" formatCode="0.00">
                  <c:v>67.697048812982814</c:v>
                </c:pt>
                <c:pt idx="15" formatCode="0.00">
                  <c:v>86.595362573287446</c:v>
                </c:pt>
                <c:pt idx="16" formatCode="0.00">
                  <c:v>93.228752986631463</c:v>
                </c:pt>
                <c:pt idx="17" formatCode="0.00">
                  <c:v>75.87955917331972</c:v>
                </c:pt>
                <c:pt idx="18" formatCode="0.00">
                  <c:v>69.734203842496342</c:v>
                </c:pt>
                <c:pt idx="19" formatCode="0.00">
                  <c:v>93.770503845566935</c:v>
                </c:pt>
                <c:pt idx="20" formatCode="0.00">
                  <c:v>97.957911094704855</c:v>
                </c:pt>
                <c:pt idx="21" formatCode="0.00">
                  <c:v>78.670762694909925</c:v>
                </c:pt>
                <c:pt idx="22" formatCode="0.00">
                  <c:v>71.74779918366778</c:v>
                </c:pt>
                <c:pt idx="23" formatCode="0.00">
                  <c:v>93.397220811721837</c:v>
                </c:pt>
                <c:pt idx="24" formatCode="0.00">
                  <c:v>99.674719169808469</c:v>
                </c:pt>
                <c:pt idx="25" formatCode="0.00">
                  <c:v>77.954273489864619</c:v>
                </c:pt>
                <c:pt idx="26" formatCode="0.00">
                  <c:v>70.254225480658846</c:v>
                </c:pt>
                <c:pt idx="27" formatCode="0.00">
                  <c:v>94.980768670526643</c:v>
                </c:pt>
                <c:pt idx="28" formatCode="0.00">
                  <c:v>104.13326572845492</c:v>
                </c:pt>
                <c:pt idx="29" formatCode="0.00">
                  <c:v>81.173232509842109</c:v>
                </c:pt>
                <c:pt idx="30" formatCode="0.00">
                  <c:v>73.868484199167199</c:v>
                </c:pt>
                <c:pt idx="31" formatCode="0.00">
                  <c:v>99.730754223560965</c:v>
                </c:pt>
                <c:pt idx="32" formatCode="0.00">
                  <c:v>108.00722965582457</c:v>
                </c:pt>
                <c:pt idx="33" formatCode="0.00">
                  <c:v>83.761107704890861</c:v>
                </c:pt>
                <c:pt idx="34" formatCode="0.00">
                  <c:v>76.301967190711579</c:v>
                </c:pt>
                <c:pt idx="35" formatCode="0.00">
                  <c:v>102.23817756019665</c:v>
                </c:pt>
                <c:pt idx="36" formatCode="0.00">
                  <c:v>109.63300057503608</c:v>
                </c:pt>
                <c:pt idx="37" formatCode="0.00">
                  <c:v>84.553862004971037</c:v>
                </c:pt>
                <c:pt idx="38" formatCode="0.00">
                  <c:v>76.530003193195412</c:v>
                </c:pt>
                <c:pt idx="39" formatCode="0.00">
                  <c:v>103.23727627862368</c:v>
                </c:pt>
                <c:pt idx="40" formatCode="0.00">
                  <c:v>112.02427551866357</c:v>
                </c:pt>
                <c:pt idx="41" formatCode="0.00">
                  <c:v>86.553727451265374</c:v>
                </c:pt>
                <c:pt idx="42" formatCode="0.00">
                  <c:v>78.643901662445074</c:v>
                </c:pt>
                <c:pt idx="43" formatCode="0.00">
                  <c:v>106.50619745724838</c:v>
                </c:pt>
                <c:pt idx="44" formatCode="0.00">
                  <c:v>115.72970183290528</c:v>
                </c:pt>
                <c:pt idx="45" formatCode="0.00">
                  <c:v>90.844015057287947</c:v>
                </c:pt>
                <c:pt idx="46" formatCode="0.00">
                  <c:v>82.752751233078911</c:v>
                </c:pt>
                <c:pt idx="47" formatCode="0.00">
                  <c:v>110.66733649669924</c:v>
                </c:pt>
                <c:pt idx="48" formatCode="0.00">
                  <c:v>122.18443351289557</c:v>
                </c:pt>
                <c:pt idx="49" formatCode="0.00">
                  <c:v>95.606235500047106</c:v>
                </c:pt>
                <c:pt idx="50" formatCode="0.00">
                  <c:v>86.652699529450842</c:v>
                </c:pt>
                <c:pt idx="51" formatCode="0.00">
                  <c:v>113.99253329005404</c:v>
                </c:pt>
                <c:pt idx="52" formatCode="0.00">
                  <c:v>124.10841935168989</c:v>
                </c:pt>
                <c:pt idx="53" formatCode="0.00">
                  <c:v>96.195540346288695</c:v>
                </c:pt>
                <c:pt idx="54" formatCode="0.00">
                  <c:v>87.342741461040191</c:v>
                </c:pt>
                <c:pt idx="55" formatCode="0.00">
                  <c:v>116.57529072233257</c:v>
                </c:pt>
                <c:pt idx="56" formatCode="0.00">
                  <c:v>125.16587051906382</c:v>
                </c:pt>
                <c:pt idx="57" formatCode="0.00">
                  <c:v>97.209717532436315</c:v>
                </c:pt>
                <c:pt idx="58" formatCode="0.00">
                  <c:v>89.18278622220312</c:v>
                </c:pt>
                <c:pt idx="59" formatCode="0.00">
                  <c:v>118.71543871628144</c:v>
                </c:pt>
                <c:pt idx="60" formatCode="0.00">
                  <c:v>129.49254362714657</c:v>
                </c:pt>
                <c:pt idx="61" formatCode="0.00">
                  <c:v>100.34002105284017</c:v>
                </c:pt>
                <c:pt idx="62" formatCode="0.00">
                  <c:v>91.083439796758014</c:v>
                </c:pt>
                <c:pt idx="63" formatCode="0.00">
                  <c:v>119.28681278248526</c:v>
                </c:pt>
                <c:pt idx="64" formatCode="0.00">
                  <c:v>129.7185267373354</c:v>
                </c:pt>
                <c:pt idx="65" formatCode="0.00">
                  <c:v>99.869392471436797</c:v>
                </c:pt>
                <c:pt idx="66" formatCode="0.00">
                  <c:v>89.997663061087906</c:v>
                </c:pt>
                <c:pt idx="67" formatCode="0.00">
                  <c:v>119.2400892474724</c:v>
                </c:pt>
                <c:pt idx="68" formatCode="0.00">
                  <c:v>131.62438014918914</c:v>
                </c:pt>
                <c:pt idx="69" formatCode="0.00">
                  <c:v>99.440675686296117</c:v>
                </c:pt>
                <c:pt idx="70" formatCode="0.00">
                  <c:v>89.408720679536032</c:v>
                </c:pt>
                <c:pt idx="71" formatCode="0.00">
                  <c:v>117.9695925219095</c:v>
                </c:pt>
                <c:pt idx="72" formatCode="0.00">
                  <c:v>129.33409479632024</c:v>
                </c:pt>
                <c:pt idx="73" formatCode="0.00">
                  <c:v>96.769050104034733</c:v>
                </c:pt>
                <c:pt idx="74" formatCode="0.00">
                  <c:v>88.17060802406985</c:v>
                </c:pt>
                <c:pt idx="75" formatCode="0.00">
                  <c:v>119.3556290849036</c:v>
                </c:pt>
                <c:pt idx="76" formatCode="0.00">
                  <c:v>131.9060950691034</c:v>
                </c:pt>
                <c:pt idx="77" formatCode="0.00">
                  <c:v>100.13966884840913</c:v>
                </c:pt>
                <c:pt idx="78" formatCode="0.00">
                  <c:v>90.73997371130433</c:v>
                </c:pt>
                <c:pt idx="79" formatCode="0.00">
                  <c:v>120.56786359640893</c:v>
                </c:pt>
                <c:pt idx="80" formatCode="0.00">
                  <c:v>131.78699740515984</c:v>
                </c:pt>
                <c:pt idx="81" formatCode="0.00">
                  <c:v>98.581638770114111</c:v>
                </c:pt>
                <c:pt idx="82" formatCode="0.00">
                  <c:v>89.847775264618889</c:v>
                </c:pt>
                <c:pt idx="83" formatCode="0.00">
                  <c:v>119.07560478932523</c:v>
                </c:pt>
                <c:pt idx="84" formatCode="0.00">
                  <c:v>132.19178163425724</c:v>
                </c:pt>
                <c:pt idx="85" formatCode="0.00">
                  <c:v>98.819784850000133</c:v>
                </c:pt>
                <c:pt idx="86" formatCode="0.00">
                  <c:v>88.899645761212213</c:v>
                </c:pt>
                <c:pt idx="87" formatCode="0.00">
                  <c:v>120.30650911458835</c:v>
                </c:pt>
                <c:pt idx="88" formatCode="0.00">
                  <c:v>130.08920794487625</c:v>
                </c:pt>
                <c:pt idx="89" formatCode="0.00">
                  <c:v>95.680639477149441</c:v>
                </c:pt>
                <c:pt idx="90" formatCode="0.00">
                  <c:v>87.335178291891324</c:v>
                </c:pt>
                <c:pt idx="91" formatCode="0.00">
                  <c:v>114.22937560945125</c:v>
                </c:pt>
                <c:pt idx="92" formatCode="0.00">
                  <c:v>123.23555994165261</c:v>
                </c:pt>
                <c:pt idx="93" formatCode="0.00">
                  <c:v>92.186528563267657</c:v>
                </c:pt>
                <c:pt idx="94" formatCode="0.00">
                  <c:v>83.553030987510041</c:v>
                </c:pt>
                <c:pt idx="95" formatCode="0.00">
                  <c:v>111.62307305772818</c:v>
                </c:pt>
                <c:pt idx="96" formatCode="0.00">
                  <c:v>123.56293403844872</c:v>
                </c:pt>
                <c:pt idx="97" formatCode="0.00">
                  <c:v>92.161916862034658</c:v>
                </c:pt>
                <c:pt idx="98" formatCode="0.00">
                  <c:v>82.626663040815998</c:v>
                </c:pt>
                <c:pt idx="99" formatCode="0.00">
                  <c:v>109.75312182251008</c:v>
                </c:pt>
                <c:pt idx="100" formatCode="0.00">
                  <c:v>118.74974319613989</c:v>
                </c:pt>
                <c:pt idx="101" formatCode="0.00">
                  <c:v>87.842535806220511</c:v>
                </c:pt>
                <c:pt idx="102" formatCode="0.00">
                  <c:v>80.12058291959886</c:v>
                </c:pt>
                <c:pt idx="103" formatCode="0.00">
                  <c:v>106.42271830401981</c:v>
                </c:pt>
                <c:pt idx="104" formatCode="0.00">
                  <c:v>118.44853775252783</c:v>
                </c:pt>
                <c:pt idx="105" formatCode="0.00">
                  <c:v>88.101349642423259</c:v>
                </c:pt>
                <c:pt idx="106" formatCode="0.00">
                  <c:v>80.772752239011069</c:v>
                </c:pt>
                <c:pt idx="107" formatCode="0.00">
                  <c:v>106.54763111385633</c:v>
                </c:pt>
                <c:pt idx="108" formatCode="0.00">
                  <c:v>119.02419272538955</c:v>
                </c:pt>
                <c:pt idx="109" formatCode="0.00">
                  <c:v>91.092920022835557</c:v>
                </c:pt>
                <c:pt idx="110" formatCode="0.00">
                  <c:v>83.578417617176498</c:v>
                </c:pt>
                <c:pt idx="111" formatCode="0.00">
                  <c:v>110.32645633724321</c:v>
                </c:pt>
                <c:pt idx="112" formatCode="0.00">
                  <c:v>120.95679024481478</c:v>
                </c:pt>
                <c:pt idx="113" formatCode="0.00">
                  <c:v>92.015151635234872</c:v>
                </c:pt>
                <c:pt idx="114" formatCode="0.00">
                  <c:v>84.939450658622661</c:v>
                </c:pt>
                <c:pt idx="115" formatCode="0.00">
                  <c:v>110.59141595348626</c:v>
                </c:pt>
                <c:pt idx="116" formatCode="0.00">
                  <c:v>122.35445883957787</c:v>
                </c:pt>
                <c:pt idx="117" formatCode="0.00">
                  <c:v>92.033262938434646</c:v>
                </c:pt>
                <c:pt idx="118" formatCode="0.00">
                  <c:v>84.257308321835581</c:v>
                </c:pt>
                <c:pt idx="119" formatCode="0.00">
                  <c:v>108.73592979474488</c:v>
                </c:pt>
                <c:pt idx="120" formatCode="0.00">
                  <c:v>118.25674465502661</c:v>
                </c:pt>
                <c:pt idx="121" formatCode="0.00">
                  <c:v>90.223153106574813</c:v>
                </c:pt>
                <c:pt idx="122" formatCode="0.00">
                  <c:v>83.05844775987633</c:v>
                </c:pt>
                <c:pt idx="123" formatCode="0.00">
                  <c:v>109.18929089686314</c:v>
                </c:pt>
                <c:pt idx="124" formatCode="0.00">
                  <c:v>117.47633103567591</c:v>
                </c:pt>
                <c:pt idx="125" formatCode="0.00">
                  <c:v>87.680974613553573</c:v>
                </c:pt>
                <c:pt idx="126" formatCode="0.00">
                  <c:v>82.3761893820257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C4-4EE6-9B5C-84FD039B6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6224064"/>
        <c:axId val="1436222144"/>
      </c:lineChart>
      <c:catAx>
        <c:axId val="143622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22144"/>
        <c:crosses val="autoZero"/>
        <c:auto val="1"/>
        <c:lblAlgn val="ctr"/>
        <c:lblOffset val="100"/>
        <c:noMultiLvlLbl val="0"/>
      </c:catAx>
      <c:valAx>
        <c:axId val="143622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2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273050</xdr:colOff>
      <xdr:row>2</xdr:row>
      <xdr:rowOff>12700</xdr:rowOff>
    </xdr:from>
    <xdr:to>
      <xdr:col>26</xdr:col>
      <xdr:colOff>266700</xdr:colOff>
      <xdr:row>38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25053-E4D6-8874-5FB6-E999D8F72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8"/>
  <sheetViews>
    <sheetView zoomScale="170" zoomScaleNormal="170" workbookViewId="0"/>
  </sheetViews>
  <sheetFormatPr defaultRowHeight="14.5" x14ac:dyDescent="0.35"/>
  <cols>
    <col min="1" max="1" width="16.54296875" bestFit="1" customWidth="1"/>
    <col min="2" max="2" width="9.36328125" style="3" customWidth="1"/>
  </cols>
  <sheetData>
    <row r="1" spans="1:11" x14ac:dyDescent="0.35">
      <c r="A1" s="5" t="s">
        <v>9</v>
      </c>
      <c r="B1" s="8" t="s">
        <v>16</v>
      </c>
      <c r="C1" s="9" t="s">
        <v>13</v>
      </c>
      <c r="D1" s="9" t="s">
        <v>14</v>
      </c>
      <c r="E1" s="9" t="s">
        <v>15</v>
      </c>
      <c r="F1" s="9" t="s">
        <v>17</v>
      </c>
      <c r="J1" s="10" t="s">
        <v>10</v>
      </c>
      <c r="K1" s="11">
        <v>0.2</v>
      </c>
    </row>
    <row r="2" spans="1:11" x14ac:dyDescent="0.35">
      <c r="A2" s="6"/>
      <c r="B2" s="6"/>
      <c r="E2">
        <v>0</v>
      </c>
      <c r="J2" s="10" t="s">
        <v>11</v>
      </c>
      <c r="K2" s="11">
        <v>0.2</v>
      </c>
    </row>
    <row r="3" spans="1:11" x14ac:dyDescent="0.35">
      <c r="A3" s="5"/>
      <c r="B3" s="6"/>
      <c r="E3">
        <v>0</v>
      </c>
      <c r="J3" s="10" t="s">
        <v>12</v>
      </c>
      <c r="K3" s="11">
        <v>0.2</v>
      </c>
    </row>
    <row r="4" spans="1:11" x14ac:dyDescent="0.35">
      <c r="A4" s="5"/>
      <c r="B4" s="6"/>
      <c r="E4">
        <v>0</v>
      </c>
    </row>
    <row r="5" spans="1:11" x14ac:dyDescent="0.35">
      <c r="A5" s="5"/>
      <c r="B5" s="6"/>
      <c r="E5">
        <v>0</v>
      </c>
      <c r="H5" t="s">
        <v>19</v>
      </c>
    </row>
    <row r="6" spans="1:11" x14ac:dyDescent="0.35">
      <c r="A6" s="2">
        <v>32874</v>
      </c>
      <c r="B6" s="3">
        <v>91.975329260013595</v>
      </c>
      <c r="C6" s="4">
        <f>B6</f>
        <v>91.975329260013595</v>
      </c>
      <c r="D6">
        <f>AVERAGE(H6:H9)</f>
        <v>1.1600661914460066</v>
      </c>
      <c r="E6">
        <f>$K$3*(B6-C6)+(1-$K$3)*E2</f>
        <v>0</v>
      </c>
      <c r="F6" s="3">
        <f>C6+E6</f>
        <v>91.975329260013595</v>
      </c>
      <c r="G6" s="3"/>
      <c r="H6">
        <f>(B10-B6)/4</f>
        <v>2.5936439239646027</v>
      </c>
    </row>
    <row r="7" spans="1:11" x14ac:dyDescent="0.35">
      <c r="A7" s="2">
        <v>32964</v>
      </c>
      <c r="B7" s="3">
        <v>66.359558723693098</v>
      </c>
      <c r="C7">
        <f>$K$1*(B7-E3)+(1-$K$1)*(C6+D6)</f>
        <v>87.780228105906303</v>
      </c>
      <c r="D7">
        <f>$K$2*(C7-C6)+(1-$K$2)*D6</f>
        <v>8.9032722335346981E-2</v>
      </c>
      <c r="E7">
        <f t="shared" ref="E7:E13" si="0">$K$3*(B7-C7)+(1-$K$3)*E3</f>
        <v>-4.2841338764426409</v>
      </c>
      <c r="F7" s="3">
        <f t="shared" ref="F7:F70" si="1">C7+E7</f>
        <v>83.496094229463665</v>
      </c>
      <c r="G7" s="3"/>
      <c r="H7">
        <f t="shared" ref="H7:H9" si="2">(B11-B7)/4</f>
        <v>1.3958520027155501</v>
      </c>
    </row>
    <row r="8" spans="1:11" x14ac:dyDescent="0.35">
      <c r="A8" s="2">
        <v>33055</v>
      </c>
      <c r="B8" s="3">
        <v>55.268194161575003</v>
      </c>
      <c r="C8">
        <f t="shared" ref="C8:C13" si="3">$K$1*(B8-E4)+(1-$K$1)*(C7+D7)</f>
        <v>81.349047494908319</v>
      </c>
      <c r="D8">
        <f t="shared" ref="D8:D13" si="4">$K$2*(C8-C7)+(1-$K$2)*D7</f>
        <v>-1.2150099443313191</v>
      </c>
      <c r="E8">
        <f t="shared" si="0"/>
        <v>-5.2161706666666632</v>
      </c>
      <c r="F8" s="3">
        <f t="shared" si="1"/>
        <v>76.132876828241649</v>
      </c>
      <c r="G8" s="3"/>
      <c r="H8">
        <f t="shared" si="2"/>
        <v>-9.4314324507800862E-2</v>
      </c>
    </row>
    <row r="9" spans="1:11" x14ac:dyDescent="0.35">
      <c r="A9" s="2">
        <v>33147</v>
      </c>
      <c r="B9" s="3">
        <v>88.089579090291906</v>
      </c>
      <c r="C9">
        <f t="shared" si="3"/>
        <v>81.72514585851998</v>
      </c>
      <c r="D9">
        <f t="shared" si="4"/>
        <v>-0.89678828274272326</v>
      </c>
      <c r="E9">
        <f t="shared" si="0"/>
        <v>1.2728866463543853</v>
      </c>
      <c r="F9" s="3">
        <f t="shared" si="1"/>
        <v>82.998032504874359</v>
      </c>
      <c r="G9" s="3"/>
      <c r="H9">
        <f t="shared" si="2"/>
        <v>0.74508316361167459</v>
      </c>
    </row>
    <row r="10" spans="1:11" x14ac:dyDescent="0.35">
      <c r="A10" s="2">
        <v>33239</v>
      </c>
      <c r="B10" s="3">
        <v>102.34990495587201</v>
      </c>
      <c r="C10">
        <f t="shared" si="3"/>
        <v>85.132667051796204</v>
      </c>
      <c r="D10">
        <f t="shared" si="4"/>
        <v>-3.5926387538933735E-2</v>
      </c>
      <c r="E10">
        <f t="shared" si="0"/>
        <v>3.4434475808151603</v>
      </c>
      <c r="F10" s="3">
        <f t="shared" si="1"/>
        <v>88.576114632611365</v>
      </c>
      <c r="G10" s="3"/>
    </row>
    <row r="11" spans="1:11" x14ac:dyDescent="0.35">
      <c r="A11" s="2">
        <v>33329</v>
      </c>
      <c r="B11" s="3">
        <v>71.942966734555299</v>
      </c>
      <c r="C11">
        <f t="shared" si="3"/>
        <v>83.322812653605411</v>
      </c>
      <c r="D11">
        <f t="shared" si="4"/>
        <v>-0.39071198966930576</v>
      </c>
      <c r="E11">
        <f t="shared" si="0"/>
        <v>-5.7032762849641356</v>
      </c>
      <c r="F11" s="3">
        <f t="shared" si="1"/>
        <v>77.619536368641278</v>
      </c>
      <c r="G11" s="3"/>
    </row>
    <row r="12" spans="1:11" x14ac:dyDescent="0.35">
      <c r="A12" s="2">
        <v>33420</v>
      </c>
      <c r="B12" s="3">
        <v>54.8909368635438</v>
      </c>
      <c r="C12">
        <f t="shared" si="3"/>
        <v>78.367102037190975</v>
      </c>
      <c r="D12">
        <f t="shared" si="4"/>
        <v>-1.3037117150183319</v>
      </c>
      <c r="E12">
        <f t="shared" si="0"/>
        <v>-8.8681695680627648</v>
      </c>
      <c r="F12" s="3">
        <f t="shared" si="1"/>
        <v>69.498932469128206</v>
      </c>
      <c r="G12" s="3"/>
    </row>
    <row r="13" spans="1:11" x14ac:dyDescent="0.35">
      <c r="A13" s="2">
        <v>33512</v>
      </c>
      <c r="B13" s="3">
        <v>91.069911744738604</v>
      </c>
      <c r="C13">
        <f t="shared" si="3"/>
        <v>79.610117277414957</v>
      </c>
      <c r="D13">
        <f t="shared" si="4"/>
        <v>-0.79436632396986906</v>
      </c>
      <c r="E13">
        <f t="shared" si="0"/>
        <v>3.3102682105482377</v>
      </c>
      <c r="F13" s="3">
        <f t="shared" si="1"/>
        <v>82.920385487963202</v>
      </c>
      <c r="G13" s="3"/>
    </row>
    <row r="14" spans="1:11" x14ac:dyDescent="0.35">
      <c r="A14" s="2">
        <v>33604</v>
      </c>
      <c r="B14" s="3">
        <v>103.066693822132</v>
      </c>
      <c r="C14">
        <f t="shared" ref="C14:C77" si="5">$K$1*(B14-E10)+(1-$K$1)*(C13+D13)</f>
        <v>82.977250011019436</v>
      </c>
      <c r="D14">
        <f t="shared" ref="D14:D77" si="6">$K$2*(C14-C13)+(1-$K$2)*D13</f>
        <v>3.7933487545000477E-2</v>
      </c>
      <c r="E14">
        <f t="shared" ref="E14:E77" si="7">$K$3*(B14-C14)+(1-$K$3)*E10</f>
        <v>6.7726468268746398</v>
      </c>
      <c r="F14" s="3">
        <f t="shared" si="1"/>
        <v>89.74989683789407</v>
      </c>
      <c r="G14" s="3"/>
    </row>
    <row r="15" spans="1:11" x14ac:dyDescent="0.35">
      <c r="A15" s="2">
        <v>33695</v>
      </c>
      <c r="B15" s="3">
        <v>68.887182620502401</v>
      </c>
      <c r="C15">
        <f t="shared" si="5"/>
        <v>81.330238579944861</v>
      </c>
      <c r="D15">
        <f t="shared" si="6"/>
        <v>-0.29905549617891447</v>
      </c>
      <c r="E15">
        <f t="shared" si="7"/>
        <v>-7.0512322198598012</v>
      </c>
      <c r="F15" s="3">
        <f t="shared" si="1"/>
        <v>74.279006360085063</v>
      </c>
      <c r="G15" s="3"/>
    </row>
    <row r="16" spans="1:11" x14ac:dyDescent="0.35">
      <c r="A16" s="2">
        <v>33786</v>
      </c>
      <c r="B16" s="3">
        <v>59.757556008146601</v>
      </c>
      <c r="C16">
        <f t="shared" si="5"/>
        <v>78.550091582254638</v>
      </c>
      <c r="D16">
        <f t="shared" si="6"/>
        <v>-0.79527379648117646</v>
      </c>
      <c r="E16">
        <f t="shared" si="7"/>
        <v>-10.85304276927182</v>
      </c>
      <c r="F16" s="3">
        <f t="shared" si="1"/>
        <v>67.697048812982814</v>
      </c>
      <c r="G16" s="3"/>
    </row>
    <row r="17" spans="1:7" x14ac:dyDescent="0.35">
      <c r="A17" s="2">
        <v>33878</v>
      </c>
      <c r="B17" s="3">
        <v>96.426965376782107</v>
      </c>
      <c r="C17">
        <f t="shared" si="5"/>
        <v>80.827193661865536</v>
      </c>
      <c r="D17">
        <f t="shared" si="6"/>
        <v>-0.18079862126276147</v>
      </c>
      <c r="E17">
        <f t="shared" si="7"/>
        <v>5.7681689114219044</v>
      </c>
      <c r="F17" s="3">
        <f t="shared" si="1"/>
        <v>86.595362573287446</v>
      </c>
      <c r="G17" s="3"/>
    </row>
    <row r="18" spans="1:7" x14ac:dyDescent="0.35">
      <c r="A18" s="2">
        <v>33970</v>
      </c>
      <c r="B18" s="3">
        <v>103.55712830957199</v>
      </c>
      <c r="C18">
        <f t="shared" si="5"/>
        <v>83.874012329021696</v>
      </c>
      <c r="D18">
        <f t="shared" si="6"/>
        <v>0.4647248364210228</v>
      </c>
      <c r="E18">
        <f t="shared" si="7"/>
        <v>9.3547406576097707</v>
      </c>
      <c r="F18" s="3">
        <f t="shared" si="1"/>
        <v>93.228752986631463</v>
      </c>
      <c r="G18" s="3"/>
    </row>
    <row r="19" spans="1:7" x14ac:dyDescent="0.35">
      <c r="A19" s="2">
        <v>34060</v>
      </c>
      <c r="B19" s="3">
        <v>73.376544467073998</v>
      </c>
      <c r="C19">
        <f t="shared" si="5"/>
        <v>83.556545069740949</v>
      </c>
      <c r="D19">
        <f t="shared" si="6"/>
        <v>0.30828641728066891</v>
      </c>
      <c r="E19">
        <f t="shared" si="7"/>
        <v>-7.6769858964212325</v>
      </c>
      <c r="F19" s="3">
        <f t="shared" si="1"/>
        <v>75.87955917331972</v>
      </c>
      <c r="G19" s="3"/>
    </row>
    <row r="20" spans="1:7" x14ac:dyDescent="0.35">
      <c r="A20" s="2">
        <v>34151</v>
      </c>
      <c r="B20" s="3">
        <v>63.907386286490201</v>
      </c>
      <c r="C20">
        <f t="shared" si="5"/>
        <v>82.043951000769695</v>
      </c>
      <c r="D20">
        <f t="shared" si="6"/>
        <v>-5.5889679969715583E-2</v>
      </c>
      <c r="E20">
        <f t="shared" si="7"/>
        <v>-12.309747158273357</v>
      </c>
      <c r="F20" s="3">
        <f t="shared" si="1"/>
        <v>69.734203842496342</v>
      </c>
      <c r="G20" s="3"/>
    </row>
    <row r="21" spans="1:7" x14ac:dyDescent="0.35">
      <c r="A21" s="2">
        <v>34243</v>
      </c>
      <c r="B21" s="3">
        <v>104.462545824847</v>
      </c>
      <c r="C21">
        <f t="shared" si="5"/>
        <v>85.329324439325021</v>
      </c>
      <c r="D21">
        <f t="shared" si="6"/>
        <v>0.61236294373529265</v>
      </c>
      <c r="E21">
        <f t="shared" si="7"/>
        <v>8.4411794062419201</v>
      </c>
      <c r="F21" s="3">
        <f t="shared" si="1"/>
        <v>93.770503845566935</v>
      </c>
      <c r="G21" s="3"/>
    </row>
    <row r="22" spans="1:7" x14ac:dyDescent="0.35">
      <c r="A22" s="2">
        <v>34335</v>
      </c>
      <c r="B22" s="3">
        <v>102.6894365241</v>
      </c>
      <c r="C22">
        <f t="shared" si="5"/>
        <v>87.420289079746297</v>
      </c>
      <c r="D22">
        <f t="shared" si="6"/>
        <v>0.90808328307248942</v>
      </c>
      <c r="E22">
        <f t="shared" si="7"/>
        <v>10.537622014958558</v>
      </c>
      <c r="F22" s="3">
        <f t="shared" si="1"/>
        <v>97.957911094704855</v>
      </c>
      <c r="G22" s="3"/>
    </row>
    <row r="23" spans="1:7" x14ac:dyDescent="0.35">
      <c r="A23" s="2">
        <v>34425</v>
      </c>
      <c r="B23" s="3">
        <v>75.149653767820794</v>
      </c>
      <c r="C23">
        <f t="shared" si="5"/>
        <v>87.228025823103437</v>
      </c>
      <c r="D23">
        <f t="shared" si="6"/>
        <v>0.68801397512941942</v>
      </c>
      <c r="E23">
        <f t="shared" si="7"/>
        <v>-8.5572631281935152</v>
      </c>
      <c r="F23" s="3">
        <f t="shared" si="1"/>
        <v>78.670762694909925</v>
      </c>
      <c r="G23" s="3"/>
    </row>
    <row r="24" spans="1:7" x14ac:dyDescent="0.35">
      <c r="A24" s="2">
        <v>34516</v>
      </c>
      <c r="B24" s="3">
        <v>64.888255261371398</v>
      </c>
      <c r="C24">
        <f t="shared" si="5"/>
        <v>85.772432322515243</v>
      </c>
      <c r="D24">
        <f t="shared" si="6"/>
        <v>0.25929247998589683</v>
      </c>
      <c r="E24">
        <f t="shared" si="7"/>
        <v>-14.024633138847456</v>
      </c>
      <c r="F24" s="3">
        <f t="shared" si="1"/>
        <v>71.74779918366778</v>
      </c>
      <c r="G24" s="3"/>
    </row>
    <row r="25" spans="1:7" x14ac:dyDescent="0.35">
      <c r="A25" s="2">
        <v>34608</v>
      </c>
      <c r="B25" s="3">
        <v>91.484894772573</v>
      </c>
      <c r="C25">
        <f t="shared" si="5"/>
        <v>85.434122915267125</v>
      </c>
      <c r="D25">
        <f t="shared" si="6"/>
        <v>0.13977210253909378</v>
      </c>
      <c r="E25">
        <f t="shared" si="7"/>
        <v>7.9630978964547117</v>
      </c>
      <c r="F25" s="3">
        <f t="shared" si="1"/>
        <v>93.397220811721837</v>
      </c>
      <c r="G25" s="3"/>
    </row>
    <row r="26" spans="1:7" x14ac:dyDescent="0.35">
      <c r="A26" s="2">
        <v>34700</v>
      </c>
      <c r="B26" s="3">
        <v>106.009300746775</v>
      </c>
      <c r="C26">
        <f t="shared" si="5"/>
        <v>87.553451760608269</v>
      </c>
      <c r="D26">
        <f t="shared" si="6"/>
        <v>0.53568345109950388</v>
      </c>
      <c r="E26">
        <f t="shared" si="7"/>
        <v>12.121267409200193</v>
      </c>
      <c r="F26" s="3">
        <f t="shared" si="1"/>
        <v>99.674719169808469</v>
      </c>
      <c r="G26" s="3"/>
    </row>
    <row r="27" spans="1:7" x14ac:dyDescent="0.35">
      <c r="A27" s="2">
        <v>34790</v>
      </c>
      <c r="B27" s="3">
        <v>75.149653767820794</v>
      </c>
      <c r="C27">
        <f t="shared" si="5"/>
        <v>87.212691548569083</v>
      </c>
      <c r="D27">
        <f t="shared" si="6"/>
        <v>0.36039471847176596</v>
      </c>
      <c r="E27">
        <f t="shared" si="7"/>
        <v>-9.2584180587044695</v>
      </c>
      <c r="F27" s="3">
        <f t="shared" si="1"/>
        <v>77.954273489864619</v>
      </c>
      <c r="G27" s="3"/>
    </row>
    <row r="28" spans="1:7" x14ac:dyDescent="0.35">
      <c r="A28" s="2">
        <v>34881</v>
      </c>
      <c r="B28" s="3">
        <v>64.397820773930704</v>
      </c>
      <c r="C28">
        <f t="shared" si="5"/>
        <v>85.74295979618833</v>
      </c>
      <c r="D28">
        <f t="shared" si="6"/>
        <v>-5.6305756987377609E-3</v>
      </c>
      <c r="E28">
        <f t="shared" si="7"/>
        <v>-15.488734315529491</v>
      </c>
      <c r="F28" s="3">
        <f t="shared" si="1"/>
        <v>70.254225480658846</v>
      </c>
      <c r="G28" s="3"/>
    </row>
    <row r="29" spans="1:7" x14ac:dyDescent="0.35">
      <c r="A29" s="2">
        <v>34973</v>
      </c>
      <c r="B29" s="3">
        <v>97.256931432450799</v>
      </c>
      <c r="C29">
        <f t="shared" si="5"/>
        <v>86.448630083590899</v>
      </c>
      <c r="D29">
        <f t="shared" si="6"/>
        <v>0.13662959692152357</v>
      </c>
      <c r="E29">
        <f t="shared" si="7"/>
        <v>8.5321385869357496</v>
      </c>
      <c r="F29" s="3">
        <f t="shared" si="1"/>
        <v>94.980768670526643</v>
      </c>
      <c r="G29" s="3"/>
    </row>
    <row r="30" spans="1:7" x14ac:dyDescent="0.35">
      <c r="A30" s="2">
        <v>35065</v>
      </c>
      <c r="B30" s="3">
        <v>113.780801086219</v>
      </c>
      <c r="C30">
        <f t="shared" si="5"/>
        <v>89.600114479813698</v>
      </c>
      <c r="D30">
        <f t="shared" si="6"/>
        <v>0.73960055678177872</v>
      </c>
      <c r="E30">
        <f t="shared" si="7"/>
        <v>14.533151248641216</v>
      </c>
      <c r="F30" s="3">
        <f t="shared" si="1"/>
        <v>104.13326572845492</v>
      </c>
      <c r="G30" s="3"/>
    </row>
    <row r="31" spans="1:7" x14ac:dyDescent="0.35">
      <c r="A31" s="2">
        <v>35156</v>
      </c>
      <c r="B31" s="3">
        <v>81.336673455532903</v>
      </c>
      <c r="C31">
        <f t="shared" si="5"/>
        <v>90.390790332123871</v>
      </c>
      <c r="D31">
        <f t="shared" si="6"/>
        <v>0.7498156158874576</v>
      </c>
      <c r="E31">
        <f t="shared" si="7"/>
        <v>-9.2175578222817691</v>
      </c>
      <c r="F31" s="3">
        <f t="shared" si="1"/>
        <v>81.173232509842109</v>
      </c>
      <c r="G31" s="3"/>
    </row>
    <row r="32" spans="1:7" x14ac:dyDescent="0.35">
      <c r="A32" s="2">
        <v>35247</v>
      </c>
      <c r="B32" s="3">
        <v>70.698017651052297</v>
      </c>
      <c r="C32">
        <f t="shared" si="5"/>
        <v>90.149835151725426</v>
      </c>
      <c r="D32">
        <f t="shared" si="6"/>
        <v>0.55166145663027721</v>
      </c>
      <c r="E32">
        <f t="shared" si="7"/>
        <v>-16.281350952558221</v>
      </c>
      <c r="F32" s="3">
        <f t="shared" si="1"/>
        <v>73.868484199167199</v>
      </c>
      <c r="G32" s="3"/>
    </row>
    <row r="33" spans="1:7" x14ac:dyDescent="0.35">
      <c r="A33" s="2">
        <v>35339</v>
      </c>
      <c r="B33" s="3">
        <v>100.61452138492901</v>
      </c>
      <c r="C33">
        <f t="shared" si="5"/>
        <v>90.97767384628321</v>
      </c>
      <c r="D33">
        <f t="shared" si="6"/>
        <v>0.60689690421577858</v>
      </c>
      <c r="E33">
        <f t="shared" si="7"/>
        <v>8.7530803772777599</v>
      </c>
      <c r="F33" s="3">
        <f t="shared" si="1"/>
        <v>99.730754223560965</v>
      </c>
      <c r="G33" s="3"/>
    </row>
    <row r="34" spans="1:7" x14ac:dyDescent="0.35">
      <c r="A34" s="2">
        <v>35431</v>
      </c>
      <c r="B34" s="3">
        <v>111.366354378819</v>
      </c>
      <c r="C34">
        <f t="shared" si="5"/>
        <v>92.634297226434754</v>
      </c>
      <c r="D34">
        <f t="shared" si="6"/>
        <v>0.81684219940293168</v>
      </c>
      <c r="E34">
        <f t="shared" si="7"/>
        <v>15.372932429389822</v>
      </c>
      <c r="F34" s="3">
        <f t="shared" si="1"/>
        <v>108.00722965582457</v>
      </c>
      <c r="G34" s="3"/>
    </row>
    <row r="35" spans="1:7" x14ac:dyDescent="0.35">
      <c r="A35" s="2">
        <v>35521</v>
      </c>
      <c r="B35" s="3">
        <v>82.921154107264101</v>
      </c>
      <c r="C35">
        <f t="shared" si="5"/>
        <v>93.18865392657932</v>
      </c>
      <c r="D35">
        <f t="shared" si="6"/>
        <v>0.76434509955125873</v>
      </c>
      <c r="E35">
        <f t="shared" si="7"/>
        <v>-9.4275462216884591</v>
      </c>
      <c r="F35" s="3">
        <f t="shared" si="1"/>
        <v>83.761107704890861</v>
      </c>
      <c r="G35" s="3"/>
    </row>
    <row r="36" spans="1:7" x14ac:dyDescent="0.35">
      <c r="A36" s="2">
        <v>35612</v>
      </c>
      <c r="B36" s="3">
        <v>73.866978954514593</v>
      </c>
      <c r="C36">
        <f t="shared" si="5"/>
        <v>93.192065202319043</v>
      </c>
      <c r="D36">
        <f t="shared" si="6"/>
        <v>0.61215833478895154</v>
      </c>
      <c r="E36">
        <f t="shared" si="7"/>
        <v>-16.890098011607467</v>
      </c>
      <c r="F36" s="3">
        <f t="shared" si="1"/>
        <v>76.301967190711579</v>
      </c>
      <c r="G36" s="3"/>
    </row>
    <row r="37" spans="1:7" x14ac:dyDescent="0.35">
      <c r="A37" s="2">
        <v>35704</v>
      </c>
      <c r="B37" s="3">
        <v>101.670841819416</v>
      </c>
      <c r="C37">
        <f t="shared" si="5"/>
        <v>93.626931118114058</v>
      </c>
      <c r="D37">
        <f t="shared" si="6"/>
        <v>0.5766998509901643</v>
      </c>
      <c r="E37">
        <f t="shared" si="7"/>
        <v>8.6112464420825958</v>
      </c>
      <c r="F37" s="3">
        <f t="shared" si="1"/>
        <v>102.23817756019665</v>
      </c>
      <c r="G37" s="3"/>
    </row>
    <row r="38" spans="1:7" x14ac:dyDescent="0.35">
      <c r="A38" s="2">
        <v>35796</v>
      </c>
      <c r="B38" s="3">
        <v>109.73333333333299</v>
      </c>
      <c r="C38">
        <f t="shared" si="5"/>
        <v>94.234984956072026</v>
      </c>
      <c r="D38">
        <f t="shared" si="6"/>
        <v>0.58297064838372503</v>
      </c>
      <c r="E38">
        <f t="shared" si="7"/>
        <v>15.398015618964052</v>
      </c>
      <c r="F38" s="3">
        <f t="shared" si="1"/>
        <v>109.63300057503608</v>
      </c>
      <c r="G38" s="3"/>
    </row>
    <row r="39" spans="1:7" x14ac:dyDescent="0.35">
      <c r="A39" s="2">
        <v>35886</v>
      </c>
      <c r="B39" s="3">
        <v>83.066666666666606</v>
      </c>
      <c r="C39">
        <f t="shared" si="5"/>
        <v>94.353207061235608</v>
      </c>
      <c r="D39">
        <f t="shared" si="6"/>
        <v>0.49002093973969646</v>
      </c>
      <c r="E39">
        <f t="shared" si="7"/>
        <v>-9.7993450562645688</v>
      </c>
      <c r="F39" s="3">
        <f t="shared" si="1"/>
        <v>84.553862004971037</v>
      </c>
      <c r="G39" s="3"/>
    </row>
    <row r="40" spans="1:7" x14ac:dyDescent="0.35">
      <c r="A40" s="2">
        <v>35977</v>
      </c>
      <c r="B40" s="3">
        <v>74</v>
      </c>
      <c r="C40">
        <f t="shared" si="5"/>
        <v>94.05260200310174</v>
      </c>
      <c r="D40">
        <f t="shared" si="6"/>
        <v>0.33189574016498352</v>
      </c>
      <c r="E40">
        <f t="shared" si="7"/>
        <v>-17.522598809906324</v>
      </c>
      <c r="F40" s="3">
        <f t="shared" si="1"/>
        <v>76.530003193195412</v>
      </c>
      <c r="G40" s="3"/>
    </row>
    <row r="41" spans="1:7" x14ac:dyDescent="0.35">
      <c r="A41" s="2">
        <v>36069</v>
      </c>
      <c r="B41" s="3">
        <v>103.666666666667</v>
      </c>
      <c r="C41">
        <f t="shared" si="5"/>
        <v>94.518682239530264</v>
      </c>
      <c r="D41">
        <f t="shared" si="6"/>
        <v>0.35873263941769173</v>
      </c>
      <c r="E41">
        <f t="shared" si="7"/>
        <v>8.7185940390934249</v>
      </c>
      <c r="F41" s="3">
        <f t="shared" si="1"/>
        <v>103.23727627862368</v>
      </c>
      <c r="G41" s="3"/>
    </row>
    <row r="42" spans="1:7" x14ac:dyDescent="0.35">
      <c r="A42" s="2">
        <v>36161</v>
      </c>
      <c r="B42" s="3">
        <v>115.133333333333</v>
      </c>
      <c r="C42">
        <f t="shared" si="5"/>
        <v>95.848995446032163</v>
      </c>
      <c r="D42">
        <f t="shared" si="6"/>
        <v>0.55304875283453314</v>
      </c>
      <c r="E42">
        <f t="shared" si="7"/>
        <v>16.175280072631409</v>
      </c>
      <c r="F42" s="3">
        <f t="shared" si="1"/>
        <v>112.02427551866357</v>
      </c>
      <c r="G42" s="3"/>
    </row>
    <row r="43" spans="1:7" x14ac:dyDescent="0.35">
      <c r="A43" s="2">
        <v>36251</v>
      </c>
      <c r="B43" s="3">
        <v>86.466666666666697</v>
      </c>
      <c r="C43">
        <f t="shared" si="5"/>
        <v>96.374837703679617</v>
      </c>
      <c r="D43">
        <f t="shared" si="6"/>
        <v>0.54760745379711739</v>
      </c>
      <c r="E43">
        <f t="shared" si="7"/>
        <v>-9.8211102524142397</v>
      </c>
      <c r="F43" s="3">
        <f t="shared" si="1"/>
        <v>86.553727451265374</v>
      </c>
      <c r="G43" s="3"/>
    </row>
    <row r="44" spans="1:7" x14ac:dyDescent="0.35">
      <c r="A44" s="2">
        <v>36342</v>
      </c>
      <c r="B44" s="3">
        <v>77.3</v>
      </c>
      <c r="C44">
        <f t="shared" si="5"/>
        <v>96.50247588796266</v>
      </c>
      <c r="D44">
        <f t="shared" si="6"/>
        <v>0.46361359989430256</v>
      </c>
      <c r="E44">
        <f t="shared" si="7"/>
        <v>-17.858574225517593</v>
      </c>
      <c r="F44" s="3">
        <f t="shared" si="1"/>
        <v>78.643901662445074</v>
      </c>
      <c r="G44" s="3"/>
    </row>
    <row r="45" spans="1:7" x14ac:dyDescent="0.35">
      <c r="A45" s="2">
        <v>36434</v>
      </c>
      <c r="B45" s="3">
        <v>107.966666666667</v>
      </c>
      <c r="C45">
        <f t="shared" si="5"/>
        <v>97.422486115800297</v>
      </c>
      <c r="D45">
        <f t="shared" si="6"/>
        <v>0.55489292548296931</v>
      </c>
      <c r="E45">
        <f t="shared" si="7"/>
        <v>9.0837113414480797</v>
      </c>
      <c r="F45" s="3">
        <f t="shared" si="1"/>
        <v>106.50619745724838</v>
      </c>
      <c r="G45" s="3"/>
    </row>
    <row r="46" spans="1:7" x14ac:dyDescent="0.35">
      <c r="A46" s="2">
        <v>36526</v>
      </c>
      <c r="B46" s="3">
        <v>118.533333333333</v>
      </c>
      <c r="C46">
        <f t="shared" si="5"/>
        <v>98.853513885166933</v>
      </c>
      <c r="D46">
        <f t="shared" si="6"/>
        <v>0.7301198942597027</v>
      </c>
      <c r="E46">
        <f t="shared" si="7"/>
        <v>16.876187947738345</v>
      </c>
      <c r="F46" s="3">
        <f t="shared" si="1"/>
        <v>115.72970183290528</v>
      </c>
      <c r="G46" s="3"/>
    </row>
    <row r="47" spans="1:7" x14ac:dyDescent="0.35">
      <c r="A47" s="2">
        <v>36617</v>
      </c>
      <c r="B47" s="3">
        <v>92.766666666666694</v>
      </c>
      <c r="C47">
        <f t="shared" si="5"/>
        <v>100.1844624073575</v>
      </c>
      <c r="D47">
        <f t="shared" si="6"/>
        <v>0.8502856198458757</v>
      </c>
      <c r="E47">
        <f t="shared" si="7"/>
        <v>-9.3404473500695531</v>
      </c>
      <c r="F47" s="3">
        <f t="shared" si="1"/>
        <v>90.844015057287947</v>
      </c>
      <c r="G47" s="3"/>
    </row>
    <row r="48" spans="1:7" x14ac:dyDescent="0.35">
      <c r="A48" s="2">
        <v>36708</v>
      </c>
      <c r="B48" s="3">
        <v>82</v>
      </c>
      <c r="C48">
        <f t="shared" si="5"/>
        <v>100.79951326686623</v>
      </c>
      <c r="D48">
        <f t="shared" si="6"/>
        <v>0.8032386677784461</v>
      </c>
      <c r="E48">
        <f t="shared" si="7"/>
        <v>-18.046762033787321</v>
      </c>
      <c r="F48" s="3">
        <f t="shared" si="1"/>
        <v>82.752751233078911</v>
      </c>
      <c r="G48" s="3"/>
    </row>
    <row r="49" spans="1:7" x14ac:dyDescent="0.35">
      <c r="A49" s="2">
        <v>36800</v>
      </c>
      <c r="B49" s="3">
        <v>110.633333333333</v>
      </c>
      <c r="C49">
        <f t="shared" si="5"/>
        <v>101.59212594609272</v>
      </c>
      <c r="D49">
        <f t="shared" si="6"/>
        <v>0.80111347006805567</v>
      </c>
      <c r="E49">
        <f t="shared" si="7"/>
        <v>9.0752105506065188</v>
      </c>
      <c r="F49" s="3">
        <f t="shared" si="1"/>
        <v>110.66733649669924</v>
      </c>
      <c r="G49" s="3"/>
    </row>
    <row r="50" spans="1:7" x14ac:dyDescent="0.35">
      <c r="A50" s="2">
        <v>36892</v>
      </c>
      <c r="B50" s="3">
        <v>127.366666666667</v>
      </c>
      <c r="C50">
        <f t="shared" si="5"/>
        <v>104.01268727671436</v>
      </c>
      <c r="D50">
        <f t="shared" si="6"/>
        <v>1.125003042178772</v>
      </c>
      <c r="E50">
        <f t="shared" si="7"/>
        <v>18.171746236181207</v>
      </c>
      <c r="F50" s="3">
        <f t="shared" si="1"/>
        <v>122.18443351289557</v>
      </c>
      <c r="G50" s="3"/>
    </row>
    <row r="51" spans="1:7" x14ac:dyDescent="0.35">
      <c r="A51" s="2">
        <v>36982</v>
      </c>
      <c r="B51" s="3">
        <v>95.266666666666694</v>
      </c>
      <c r="C51">
        <f t="shared" si="5"/>
        <v>105.03157505846177</v>
      </c>
      <c r="D51">
        <f t="shared" si="6"/>
        <v>1.1037799900924996</v>
      </c>
      <c r="E51">
        <f t="shared" si="7"/>
        <v>-9.4253395584146578</v>
      </c>
      <c r="F51" s="3">
        <f t="shared" si="1"/>
        <v>95.606235500047106</v>
      </c>
      <c r="G51" s="3"/>
    </row>
    <row r="52" spans="1:7" x14ac:dyDescent="0.35">
      <c r="A52" s="2">
        <v>37073</v>
      </c>
      <c r="B52" s="3">
        <v>84.1</v>
      </c>
      <c r="C52">
        <f t="shared" si="5"/>
        <v>105.33763644560088</v>
      </c>
      <c r="D52">
        <f t="shared" si="6"/>
        <v>0.94423626950182171</v>
      </c>
      <c r="E52">
        <f t="shared" si="7"/>
        <v>-18.684936916150036</v>
      </c>
      <c r="F52" s="3">
        <f t="shared" si="1"/>
        <v>86.652699529450842</v>
      </c>
      <c r="G52" s="3"/>
    </row>
    <row r="53" spans="1:7" x14ac:dyDescent="0.35">
      <c r="A53" s="2">
        <v>37165</v>
      </c>
      <c r="B53" s="3">
        <v>111.566666666667</v>
      </c>
      <c r="C53">
        <f t="shared" si="5"/>
        <v>105.52378939529427</v>
      </c>
      <c r="D53">
        <f t="shared" si="6"/>
        <v>0.79261960554013622</v>
      </c>
      <c r="E53">
        <f t="shared" si="7"/>
        <v>8.4687438947597613</v>
      </c>
      <c r="F53" s="3">
        <f t="shared" si="1"/>
        <v>113.99253329005404</v>
      </c>
      <c r="G53" s="3"/>
    </row>
    <row r="54" spans="1:7" x14ac:dyDescent="0.35">
      <c r="A54" s="2">
        <v>37257</v>
      </c>
      <c r="B54" s="3">
        <v>123.433333333333</v>
      </c>
      <c r="C54">
        <f t="shared" si="5"/>
        <v>106.1054446200979</v>
      </c>
      <c r="D54">
        <f t="shared" si="6"/>
        <v>0.75042672939283428</v>
      </c>
      <c r="E54">
        <f t="shared" si="7"/>
        <v>18.002974731591987</v>
      </c>
      <c r="F54" s="3">
        <f t="shared" si="1"/>
        <v>124.10841935168989</v>
      </c>
      <c r="G54" s="3"/>
    </row>
    <row r="55" spans="1:7" x14ac:dyDescent="0.35">
      <c r="A55" s="2">
        <v>37347</v>
      </c>
      <c r="B55" s="3">
        <v>94</v>
      </c>
      <c r="C55">
        <f t="shared" si="5"/>
        <v>106.16976499127553</v>
      </c>
      <c r="D55">
        <f t="shared" si="6"/>
        <v>0.6132054577497934</v>
      </c>
      <c r="E55">
        <f t="shared" si="7"/>
        <v>-9.9742246449868333</v>
      </c>
      <c r="F55" s="3">
        <f t="shared" si="1"/>
        <v>96.195540346288695</v>
      </c>
      <c r="G55" s="3"/>
    </row>
    <row r="56" spans="1:7" x14ac:dyDescent="0.35">
      <c r="A56" s="2">
        <v>37438</v>
      </c>
      <c r="B56" s="3">
        <v>86</v>
      </c>
      <c r="C56">
        <f t="shared" si="5"/>
        <v>106.36336374245028</v>
      </c>
      <c r="D56">
        <f t="shared" si="6"/>
        <v>0.52928411643478412</v>
      </c>
      <c r="E56">
        <f t="shared" si="7"/>
        <v>-19.020622281410084</v>
      </c>
      <c r="F56" s="3">
        <f t="shared" si="1"/>
        <v>87.342741461040191</v>
      </c>
      <c r="G56" s="3"/>
    </row>
    <row r="57" spans="1:7" x14ac:dyDescent="0.35">
      <c r="A57" s="2">
        <v>37530</v>
      </c>
      <c r="B57" s="3">
        <v>118.73333333333299</v>
      </c>
      <c r="C57">
        <f t="shared" si="5"/>
        <v>107.5670361748227</v>
      </c>
      <c r="D57">
        <f t="shared" si="6"/>
        <v>0.66416177962231304</v>
      </c>
      <c r="E57">
        <f t="shared" si="7"/>
        <v>9.0082545475098676</v>
      </c>
      <c r="F57" s="3">
        <f t="shared" si="1"/>
        <v>116.57529072233257</v>
      </c>
      <c r="G57" s="3"/>
    </row>
    <row r="58" spans="1:7" x14ac:dyDescent="0.35">
      <c r="A58" s="2">
        <v>37622</v>
      </c>
      <c r="B58" s="3">
        <v>123.26666666666701</v>
      </c>
      <c r="C58">
        <f t="shared" si="5"/>
        <v>107.63769675057102</v>
      </c>
      <c r="D58">
        <f t="shared" si="6"/>
        <v>0.54546153884751447</v>
      </c>
      <c r="E58">
        <f t="shared" si="7"/>
        <v>17.528173768492785</v>
      </c>
      <c r="F58" s="3">
        <f t="shared" si="1"/>
        <v>125.16587051906382</v>
      </c>
      <c r="G58" s="3"/>
    </row>
    <row r="59" spans="1:7" x14ac:dyDescent="0.35">
      <c r="A59" s="2">
        <v>37712</v>
      </c>
      <c r="B59" s="3">
        <v>95.433333333333394</v>
      </c>
      <c r="C59">
        <f t="shared" si="5"/>
        <v>107.62803822719889</v>
      </c>
      <c r="D59">
        <f t="shared" si="6"/>
        <v>0.43443752640358391</v>
      </c>
      <c r="E59">
        <f t="shared" si="7"/>
        <v>-10.418320694762565</v>
      </c>
      <c r="F59" s="3">
        <f t="shared" si="1"/>
        <v>97.209717532436315</v>
      </c>
      <c r="G59" s="3"/>
    </row>
    <row r="60" spans="1:7" x14ac:dyDescent="0.35">
      <c r="A60" s="2">
        <v>37803</v>
      </c>
      <c r="B60" s="3">
        <v>89.433333333333294</v>
      </c>
      <c r="C60">
        <f t="shared" si="5"/>
        <v>108.14077172583066</v>
      </c>
      <c r="D60">
        <f t="shared" si="6"/>
        <v>0.45009672084922214</v>
      </c>
      <c r="E60">
        <f t="shared" si="7"/>
        <v>-18.95798550362754</v>
      </c>
      <c r="F60" s="3">
        <f t="shared" si="1"/>
        <v>89.18278622220312</v>
      </c>
      <c r="G60" s="3"/>
    </row>
    <row r="61" spans="1:7" x14ac:dyDescent="0.35">
      <c r="A61" s="2">
        <v>37895</v>
      </c>
      <c r="B61" s="3">
        <v>120.7</v>
      </c>
      <c r="C61">
        <f t="shared" si="5"/>
        <v>109.21104384784194</v>
      </c>
      <c r="D61">
        <f t="shared" si="6"/>
        <v>0.57413180108163275</v>
      </c>
      <c r="E61">
        <f t="shared" si="7"/>
        <v>9.5043948684395083</v>
      </c>
      <c r="F61" s="3">
        <f t="shared" si="1"/>
        <v>118.71543871628144</v>
      </c>
      <c r="G61" s="3"/>
    </row>
    <row r="62" spans="1:7" x14ac:dyDescent="0.35">
      <c r="A62" s="2">
        <v>37987</v>
      </c>
      <c r="B62" s="3">
        <v>133.36666666666699</v>
      </c>
      <c r="C62">
        <f t="shared" si="5"/>
        <v>110.9958390987737</v>
      </c>
      <c r="D62">
        <f t="shared" si="6"/>
        <v>0.81626449105165921</v>
      </c>
      <c r="E62">
        <f t="shared" si="7"/>
        <v>18.496704528372884</v>
      </c>
      <c r="F62" s="3">
        <f t="shared" si="1"/>
        <v>129.49254362714657</v>
      </c>
      <c r="G62" s="3"/>
    </row>
    <row r="63" spans="1:7" x14ac:dyDescent="0.35">
      <c r="A63" s="2">
        <v>38078</v>
      </c>
      <c r="B63" s="3">
        <v>98.466666666666598</v>
      </c>
      <c r="C63">
        <f t="shared" si="5"/>
        <v>111.22668034414613</v>
      </c>
      <c r="D63">
        <f t="shared" si="6"/>
        <v>0.69917984191581373</v>
      </c>
      <c r="E63">
        <f t="shared" si="7"/>
        <v>-10.886659291305961</v>
      </c>
      <c r="F63" s="3">
        <f t="shared" si="1"/>
        <v>100.34002105284017</v>
      </c>
      <c r="G63" s="3"/>
    </row>
    <row r="64" spans="1:7" x14ac:dyDescent="0.35">
      <c r="A64" s="2">
        <v>38169</v>
      </c>
      <c r="B64" s="3">
        <v>87.733333333333306</v>
      </c>
      <c r="C64">
        <f t="shared" si="5"/>
        <v>110.87895191624173</v>
      </c>
      <c r="D64">
        <f t="shared" si="6"/>
        <v>0.48979818795177105</v>
      </c>
      <c r="E64">
        <f t="shared" si="7"/>
        <v>-19.795512119483718</v>
      </c>
      <c r="F64" s="3">
        <f t="shared" si="1"/>
        <v>91.083439796758014</v>
      </c>
      <c r="G64" s="3"/>
    </row>
    <row r="65" spans="1:7" x14ac:dyDescent="0.35">
      <c r="A65" s="2">
        <v>38261</v>
      </c>
      <c r="B65" s="3">
        <v>116.466666666667</v>
      </c>
      <c r="C65">
        <f t="shared" si="5"/>
        <v>110.48745444300032</v>
      </c>
      <c r="D65">
        <f t="shared" si="6"/>
        <v>0.31353905571313379</v>
      </c>
      <c r="E65">
        <f t="shared" si="7"/>
        <v>8.7993583394849431</v>
      </c>
      <c r="F65" s="3">
        <f t="shared" si="1"/>
        <v>119.28681278248526</v>
      </c>
      <c r="G65" s="3"/>
    </row>
    <row r="66" spans="1:7" x14ac:dyDescent="0.35">
      <c r="A66" s="2">
        <v>38353</v>
      </c>
      <c r="B66" s="3">
        <v>130.46666666666701</v>
      </c>
      <c r="C66">
        <f t="shared" si="5"/>
        <v>111.0347872266296</v>
      </c>
      <c r="D66">
        <f t="shared" si="6"/>
        <v>0.36029780129636441</v>
      </c>
      <c r="E66">
        <f t="shared" si="7"/>
        <v>18.683739510705788</v>
      </c>
      <c r="F66" s="3">
        <f t="shared" si="1"/>
        <v>129.7185267373354</v>
      </c>
      <c r="G66" s="3"/>
    </row>
    <row r="67" spans="1:7" x14ac:dyDescent="0.35">
      <c r="A67" s="2">
        <v>38443</v>
      </c>
      <c r="B67" s="3">
        <v>98.733333333333306</v>
      </c>
      <c r="C67">
        <f t="shared" si="5"/>
        <v>111.04006654726864</v>
      </c>
      <c r="D67">
        <f t="shared" si="6"/>
        <v>0.28929410516489823</v>
      </c>
      <c r="E67">
        <f t="shared" si="7"/>
        <v>-11.170674075831835</v>
      </c>
      <c r="F67" s="3">
        <f t="shared" si="1"/>
        <v>99.869392471436797</v>
      </c>
      <c r="G67" s="3"/>
    </row>
    <row r="68" spans="1:7" x14ac:dyDescent="0.35">
      <c r="A68" s="2">
        <v>38534</v>
      </c>
      <c r="B68" s="3">
        <v>87.266666666666694</v>
      </c>
      <c r="C68">
        <f t="shared" si="5"/>
        <v>110.47592427917692</v>
      </c>
      <c r="D68">
        <f t="shared" si="6"/>
        <v>0.11860683051357569</v>
      </c>
      <c r="E68">
        <f t="shared" si="7"/>
        <v>-20.47826121808902</v>
      </c>
      <c r="F68" s="3">
        <f t="shared" si="1"/>
        <v>89.997663061087906</v>
      </c>
      <c r="G68" s="3"/>
    </row>
    <row r="69" spans="1:7" x14ac:dyDescent="0.35">
      <c r="A69" s="2">
        <v>38626</v>
      </c>
      <c r="B69" s="3">
        <v>118.966666666667</v>
      </c>
      <c r="C69">
        <f t="shared" si="5"/>
        <v>110.50908655318881</v>
      </c>
      <c r="D69">
        <f t="shared" si="6"/>
        <v>0.10151791921323776</v>
      </c>
      <c r="E69">
        <f t="shared" si="7"/>
        <v>8.7310026942835925</v>
      </c>
      <c r="F69" s="3">
        <f t="shared" si="1"/>
        <v>119.2400892474724</v>
      </c>
      <c r="G69" s="3"/>
    </row>
    <row r="70" spans="1:7" x14ac:dyDescent="0.35">
      <c r="A70" s="2">
        <v>38718</v>
      </c>
      <c r="B70" s="3">
        <v>135.76666666666699</v>
      </c>
      <c r="C70">
        <f t="shared" si="5"/>
        <v>111.90506900911389</v>
      </c>
      <c r="D70">
        <f t="shared" si="6"/>
        <v>0.36041082655560602</v>
      </c>
      <c r="E70">
        <f t="shared" si="7"/>
        <v>19.719311140075252</v>
      </c>
      <c r="F70" s="3">
        <f t="shared" si="1"/>
        <v>131.62438014918914</v>
      </c>
      <c r="G70" s="3"/>
    </row>
    <row r="71" spans="1:7" x14ac:dyDescent="0.35">
      <c r="A71" s="2">
        <v>38808</v>
      </c>
      <c r="B71" s="3">
        <v>96.5</v>
      </c>
      <c r="C71">
        <f t="shared" si="5"/>
        <v>111.34651868370197</v>
      </c>
      <c r="D71">
        <f t="shared" si="6"/>
        <v>0.17661859616210188</v>
      </c>
      <c r="E71">
        <f t="shared" si="7"/>
        <v>-11.905842997405863</v>
      </c>
      <c r="F71" s="3">
        <f t="shared" ref="F71:F128" si="8">C71+E71</f>
        <v>99.440675686296117</v>
      </c>
      <c r="G71" s="3"/>
    </row>
    <row r="72" spans="1:7" x14ac:dyDescent="0.35">
      <c r="A72" s="2">
        <v>38899</v>
      </c>
      <c r="B72" s="3">
        <v>86.5</v>
      </c>
      <c r="C72">
        <f t="shared" si="5"/>
        <v>110.61416206750907</v>
      </c>
      <c r="D72">
        <f t="shared" si="6"/>
        <v>-5.1764463088989354E-3</v>
      </c>
      <c r="E72">
        <f t="shared" si="7"/>
        <v>-21.205441387973032</v>
      </c>
      <c r="F72" s="3">
        <f t="shared" si="8"/>
        <v>89.408720679536032</v>
      </c>
      <c r="G72" s="3"/>
    </row>
    <row r="73" spans="1:7" x14ac:dyDescent="0.35">
      <c r="A73" s="2">
        <v>38991</v>
      </c>
      <c r="B73" s="3">
        <v>115.533333333333</v>
      </c>
      <c r="C73">
        <f t="shared" si="5"/>
        <v>109.84765462477003</v>
      </c>
      <c r="D73">
        <f t="shared" si="6"/>
        <v>-0.15744264559492732</v>
      </c>
      <c r="E73">
        <f t="shared" si="7"/>
        <v>8.1219378971394693</v>
      </c>
      <c r="F73" s="3">
        <f t="shared" si="8"/>
        <v>117.9695925219095</v>
      </c>
      <c r="G73" s="3"/>
    </row>
    <row r="74" spans="1:7" x14ac:dyDescent="0.35">
      <c r="A74" s="2">
        <v>39083</v>
      </c>
      <c r="B74" s="3">
        <v>129.19999999999999</v>
      </c>
      <c r="C74">
        <f t="shared" si="5"/>
        <v>109.64830735532504</v>
      </c>
      <c r="D74">
        <f t="shared" si="6"/>
        <v>-0.16582357036493886</v>
      </c>
      <c r="E74">
        <f t="shared" si="7"/>
        <v>19.685787440995192</v>
      </c>
      <c r="F74" s="3">
        <f t="shared" si="8"/>
        <v>129.33409479632024</v>
      </c>
      <c r="G74" s="3"/>
    </row>
    <row r="75" spans="1:7" x14ac:dyDescent="0.35">
      <c r="A75" s="2">
        <v>39173</v>
      </c>
      <c r="B75" s="3">
        <v>95.3333333333334</v>
      </c>
      <c r="C75">
        <f t="shared" si="5"/>
        <v>109.03382229411594</v>
      </c>
      <c r="D75">
        <f t="shared" si="6"/>
        <v>-0.25555586853377288</v>
      </c>
      <c r="E75">
        <f t="shared" si="7"/>
        <v>-12.264772190081198</v>
      </c>
      <c r="F75" s="3">
        <f t="shared" si="8"/>
        <v>96.769050104034733</v>
      </c>
      <c r="G75" s="3"/>
    </row>
    <row r="76" spans="1:7" x14ac:dyDescent="0.35">
      <c r="A76" s="2">
        <v>39264</v>
      </c>
      <c r="B76" s="3">
        <v>89.233333333333306</v>
      </c>
      <c r="C76">
        <f t="shared" si="5"/>
        <v>109.11036808472701</v>
      </c>
      <c r="D76">
        <f t="shared" si="6"/>
        <v>-0.18913553670480268</v>
      </c>
      <c r="E76">
        <f t="shared" si="7"/>
        <v>-20.939760060657168</v>
      </c>
      <c r="F76" s="3">
        <f t="shared" si="8"/>
        <v>88.17060802406985</v>
      </c>
      <c r="G76" s="3"/>
    </row>
    <row r="77" spans="1:7" x14ac:dyDescent="0.35">
      <c r="A77" s="2">
        <v>39356</v>
      </c>
      <c r="B77" s="3">
        <v>123.466666666667</v>
      </c>
      <c r="C77">
        <f t="shared" si="5"/>
        <v>110.20593179232328</v>
      </c>
      <c r="D77">
        <f t="shared" si="6"/>
        <v>6.7804312155411828E-2</v>
      </c>
      <c r="E77">
        <f t="shared" si="7"/>
        <v>9.1496972925803171</v>
      </c>
      <c r="F77" s="3">
        <f t="shared" si="8"/>
        <v>119.3556290849036</v>
      </c>
      <c r="G77" s="3"/>
    </row>
    <row r="78" spans="1:7" x14ac:dyDescent="0.35">
      <c r="A78" s="2">
        <v>39448</v>
      </c>
      <c r="B78" s="3">
        <v>135.36666666666699</v>
      </c>
      <c r="C78">
        <f t="shared" ref="C78:C128" si="9">$K$1*(B78-E74)+(1-$K$1)*(C77+D77)</f>
        <v>111.35516472871733</v>
      </c>
      <c r="D78">
        <f t="shared" ref="D78:D128" si="10">$K$2*(C78-C77)+(1-$K$2)*D77</f>
        <v>0.28409003700313806</v>
      </c>
      <c r="E78">
        <f t="shared" ref="E78:E128" si="11">$K$3*(B78-C78)+(1-$K$3)*E74</f>
        <v>20.550930340386088</v>
      </c>
      <c r="F78" s="3">
        <f t="shared" si="8"/>
        <v>131.9060950691034</v>
      </c>
      <c r="G78" s="3"/>
    </row>
    <row r="79" spans="1:7" x14ac:dyDescent="0.35">
      <c r="A79" s="2">
        <v>39539</v>
      </c>
      <c r="B79" s="3">
        <v>101.5</v>
      </c>
      <c r="C79">
        <f t="shared" si="9"/>
        <v>112.06435825059262</v>
      </c>
      <c r="D79">
        <f t="shared" si="10"/>
        <v>0.36911073397756894</v>
      </c>
      <c r="E79">
        <f t="shared" si="11"/>
        <v>-11.924689402183484</v>
      </c>
      <c r="F79" s="3">
        <f t="shared" si="8"/>
        <v>100.13966884840913</v>
      </c>
      <c r="G79" s="3"/>
    </row>
    <row r="80" spans="1:7" x14ac:dyDescent="0.35">
      <c r="A80" s="2">
        <v>39630</v>
      </c>
      <c r="B80" s="3">
        <v>89.4</v>
      </c>
      <c r="C80">
        <f t="shared" si="9"/>
        <v>112.01472719978759</v>
      </c>
      <c r="D80">
        <f t="shared" si="10"/>
        <v>0.28536237702104855</v>
      </c>
      <c r="E80">
        <f t="shared" si="11"/>
        <v>-21.274753488483253</v>
      </c>
      <c r="F80" s="3">
        <f t="shared" si="8"/>
        <v>90.73997371130433</v>
      </c>
      <c r="G80" s="3"/>
    </row>
    <row r="81" spans="1:7" x14ac:dyDescent="0.35">
      <c r="A81" s="2">
        <v>39722</v>
      </c>
      <c r="B81" s="3">
        <v>119</v>
      </c>
      <c r="C81">
        <f t="shared" si="9"/>
        <v>111.81013220293084</v>
      </c>
      <c r="D81">
        <f t="shared" si="10"/>
        <v>0.18737090224549058</v>
      </c>
      <c r="E81">
        <f t="shared" si="11"/>
        <v>8.7577313934780854</v>
      </c>
      <c r="F81" s="3">
        <f t="shared" si="8"/>
        <v>120.56786359640893</v>
      </c>
      <c r="G81" s="3"/>
    </row>
    <row r="82" spans="1:7" x14ac:dyDescent="0.35">
      <c r="A82" s="2">
        <v>39814</v>
      </c>
      <c r="B82" s="3">
        <v>130.433333333333</v>
      </c>
      <c r="C82">
        <f t="shared" si="9"/>
        <v>111.57448308273047</v>
      </c>
      <c r="D82">
        <f t="shared" si="10"/>
        <v>0.10276689775631684</v>
      </c>
      <c r="E82">
        <f t="shared" si="11"/>
        <v>20.212514322429378</v>
      </c>
      <c r="F82" s="3">
        <f t="shared" si="8"/>
        <v>131.78699740515984</v>
      </c>
      <c r="G82" s="3"/>
    </row>
    <row r="83" spans="1:7" x14ac:dyDescent="0.35">
      <c r="A83" s="2">
        <v>39904</v>
      </c>
      <c r="B83" s="3">
        <v>96.5</v>
      </c>
      <c r="C83">
        <f t="shared" si="9"/>
        <v>111.02673786482612</v>
      </c>
      <c r="D83">
        <f t="shared" si="10"/>
        <v>-2.7335525375816447E-2</v>
      </c>
      <c r="E83">
        <f t="shared" si="11"/>
        <v>-12.44509909471201</v>
      </c>
      <c r="F83" s="3">
        <f t="shared" si="8"/>
        <v>98.581638770114111</v>
      </c>
      <c r="G83" s="3"/>
    </row>
    <row r="84" spans="1:7" x14ac:dyDescent="0.35">
      <c r="A84" s="2">
        <v>39995</v>
      </c>
      <c r="B84" s="3">
        <v>90.066666666666606</v>
      </c>
      <c r="C84">
        <f t="shared" si="9"/>
        <v>111.06780590259022</v>
      </c>
      <c r="D84">
        <f t="shared" si="10"/>
        <v>-1.3654812747832012E-2</v>
      </c>
      <c r="E84">
        <f t="shared" si="11"/>
        <v>-21.220030637971327</v>
      </c>
      <c r="F84" s="3">
        <f t="shared" si="8"/>
        <v>89.847775264618889</v>
      </c>
      <c r="G84" s="3"/>
    </row>
    <row r="85" spans="1:7" x14ac:dyDescent="0.35">
      <c r="A85" s="2">
        <v>40087</v>
      </c>
      <c r="B85" s="3">
        <v>117.76666666666701</v>
      </c>
      <c r="C85">
        <f t="shared" si="9"/>
        <v>110.6451079265117</v>
      </c>
      <c r="D85">
        <f t="shared" si="10"/>
        <v>-9.5463445413970435E-2</v>
      </c>
      <c r="E85">
        <f t="shared" si="11"/>
        <v>8.4304968628135306</v>
      </c>
      <c r="F85" s="3">
        <f t="shared" si="8"/>
        <v>119.07560478932523</v>
      </c>
      <c r="G85" s="3"/>
    </row>
    <row r="86" spans="1:7" x14ac:dyDescent="0.35">
      <c r="A86" s="2">
        <v>40179</v>
      </c>
      <c r="B86" s="3">
        <v>134.73333333333301</v>
      </c>
      <c r="C86">
        <f t="shared" si="9"/>
        <v>111.34387938705892</v>
      </c>
      <c r="D86">
        <f t="shared" si="10"/>
        <v>6.3383535778267774E-2</v>
      </c>
      <c r="E86">
        <f t="shared" si="11"/>
        <v>20.84790224719832</v>
      </c>
      <c r="F86" s="3">
        <f t="shared" si="8"/>
        <v>132.19178163425724</v>
      </c>
      <c r="G86" s="3"/>
    </row>
    <row r="87" spans="1:7" x14ac:dyDescent="0.35">
      <c r="A87" s="2">
        <v>40269</v>
      </c>
      <c r="B87" s="3">
        <v>98.566666666666706</v>
      </c>
      <c r="C87">
        <f t="shared" si="9"/>
        <v>111.32816349054551</v>
      </c>
      <c r="D87">
        <f t="shared" si="10"/>
        <v>4.7563649319931622E-2</v>
      </c>
      <c r="E87">
        <f t="shared" si="11"/>
        <v>-12.50837864054537</v>
      </c>
      <c r="F87" s="3">
        <f t="shared" si="8"/>
        <v>98.819784850000133</v>
      </c>
      <c r="G87" s="3"/>
    </row>
    <row r="88" spans="1:7" x14ac:dyDescent="0.35">
      <c r="A88" s="2">
        <v>40360</v>
      </c>
      <c r="B88" s="3">
        <v>86.6666666666666</v>
      </c>
      <c r="C88">
        <f t="shared" si="9"/>
        <v>110.67792117281994</v>
      </c>
      <c r="D88">
        <f t="shared" si="10"/>
        <v>-9.1997544089168853E-2</v>
      </c>
      <c r="E88">
        <f t="shared" si="11"/>
        <v>-21.77827541160773</v>
      </c>
      <c r="F88" s="3">
        <f t="shared" si="8"/>
        <v>88.899645761212213</v>
      </c>
      <c r="G88" s="3"/>
    </row>
    <row r="89" spans="1:7" x14ac:dyDescent="0.35">
      <c r="A89" s="2">
        <v>40452</v>
      </c>
      <c r="B89" s="3">
        <v>122.6</v>
      </c>
      <c r="C89">
        <f t="shared" si="9"/>
        <v>111.30263953042191</v>
      </c>
      <c r="D89">
        <f t="shared" si="10"/>
        <v>5.1345636249060508E-2</v>
      </c>
      <c r="E89">
        <f t="shared" si="11"/>
        <v>9.0038695841664413</v>
      </c>
      <c r="F89" s="3">
        <f t="shared" si="8"/>
        <v>120.30650911458835</v>
      </c>
      <c r="G89" s="3"/>
    </row>
    <row r="90" spans="1:7" x14ac:dyDescent="0.35">
      <c r="A90" s="2">
        <v>40544</v>
      </c>
      <c r="B90" s="3">
        <v>126.333333333333</v>
      </c>
      <c r="C90">
        <f t="shared" si="9"/>
        <v>110.18027435056374</v>
      </c>
      <c r="D90">
        <f t="shared" si="10"/>
        <v>-0.18339652697238729</v>
      </c>
      <c r="E90">
        <f t="shared" si="11"/>
        <v>19.908933594312508</v>
      </c>
      <c r="F90" s="3">
        <f t="shared" si="8"/>
        <v>130.08920794487625</v>
      </c>
      <c r="G90" s="3"/>
    </row>
    <row r="91" spans="1:7" x14ac:dyDescent="0.35">
      <c r="A91" s="2">
        <v>40634</v>
      </c>
      <c r="B91" s="3">
        <v>92.466666666666697</v>
      </c>
      <c r="C91">
        <f t="shared" si="9"/>
        <v>108.9925113203155</v>
      </c>
      <c r="D91">
        <f t="shared" si="10"/>
        <v>-0.38426982762755674</v>
      </c>
      <c r="E91">
        <f t="shared" si="11"/>
        <v>-13.311871843166056</v>
      </c>
      <c r="F91" s="3">
        <f t="shared" si="8"/>
        <v>95.680639477149441</v>
      </c>
      <c r="G91" s="3"/>
    </row>
    <row r="92" spans="1:7" x14ac:dyDescent="0.35">
      <c r="A92" s="2">
        <v>40725</v>
      </c>
      <c r="B92" s="3">
        <v>88.233333333333306</v>
      </c>
      <c r="C92">
        <f t="shared" si="9"/>
        <v>108.88891494313856</v>
      </c>
      <c r="D92">
        <f t="shared" si="10"/>
        <v>-0.32813513753743373</v>
      </c>
      <c r="E92">
        <f t="shared" si="11"/>
        <v>-21.553736651247238</v>
      </c>
      <c r="F92" s="3">
        <f t="shared" si="8"/>
        <v>87.335178291891324</v>
      </c>
      <c r="G92" s="3"/>
    </row>
    <row r="93" spans="1:7" x14ac:dyDescent="0.35">
      <c r="A93" s="2">
        <v>40817</v>
      </c>
      <c r="B93" s="3">
        <v>108.3</v>
      </c>
      <c r="C93">
        <f t="shared" si="9"/>
        <v>106.70784992764763</v>
      </c>
      <c r="D93">
        <f t="shared" si="10"/>
        <v>-0.69872111312813301</v>
      </c>
      <c r="E93">
        <f t="shared" si="11"/>
        <v>7.5215256818036274</v>
      </c>
      <c r="F93" s="3">
        <f t="shared" si="8"/>
        <v>114.22937560945125</v>
      </c>
      <c r="G93" s="3"/>
    </row>
    <row r="94" spans="1:7" x14ac:dyDescent="0.35">
      <c r="A94" s="2">
        <v>40909</v>
      </c>
      <c r="B94" s="3">
        <v>118.466666666667</v>
      </c>
      <c r="C94">
        <f t="shared" si="9"/>
        <v>104.51884966608651</v>
      </c>
      <c r="D94">
        <f t="shared" si="10"/>
        <v>-0.99677694281473039</v>
      </c>
      <c r="E94">
        <f t="shared" si="11"/>
        <v>18.716710275566104</v>
      </c>
      <c r="F94" s="3">
        <f t="shared" si="8"/>
        <v>123.23555994165261</v>
      </c>
      <c r="G94" s="3"/>
    </row>
    <row r="95" spans="1:7" x14ac:dyDescent="0.35">
      <c r="A95" s="2">
        <v>41000</v>
      </c>
      <c r="B95" s="3">
        <v>95.7</v>
      </c>
      <c r="C95">
        <f t="shared" si="9"/>
        <v>104.62003254725063</v>
      </c>
      <c r="D95">
        <f t="shared" si="10"/>
        <v>-0.77718497801896025</v>
      </c>
      <c r="E95">
        <f t="shared" si="11"/>
        <v>-12.433503983982972</v>
      </c>
      <c r="F95" s="3">
        <f t="shared" si="8"/>
        <v>92.186528563267657</v>
      </c>
      <c r="G95" s="3"/>
    </row>
    <row r="96" spans="1:7" x14ac:dyDescent="0.35">
      <c r="A96" s="2">
        <v>41091</v>
      </c>
      <c r="B96" s="3">
        <v>85.8</v>
      </c>
      <c r="C96">
        <f t="shared" si="9"/>
        <v>104.54502538563479</v>
      </c>
      <c r="D96">
        <f t="shared" si="10"/>
        <v>-0.63674941473833702</v>
      </c>
      <c r="E96">
        <f t="shared" si="11"/>
        <v>-20.991994398124749</v>
      </c>
      <c r="F96" s="3">
        <f t="shared" si="8"/>
        <v>83.553030987510041</v>
      </c>
      <c r="G96" s="3"/>
    </row>
    <row r="97" spans="1:7" x14ac:dyDescent="0.35">
      <c r="A97" s="2">
        <v>41183</v>
      </c>
      <c r="B97" s="3">
        <v>111.966666666667</v>
      </c>
      <c r="C97">
        <f t="shared" si="9"/>
        <v>104.01564897368985</v>
      </c>
      <c r="D97">
        <f t="shared" si="10"/>
        <v>-0.61527481417965724</v>
      </c>
      <c r="E97">
        <f t="shared" si="11"/>
        <v>7.6074240840383318</v>
      </c>
      <c r="F97" s="3">
        <f t="shared" si="8"/>
        <v>111.62307305772818</v>
      </c>
      <c r="G97" s="3"/>
    </row>
    <row r="98" spans="1:7" x14ac:dyDescent="0.35">
      <c r="A98" s="2">
        <v>41275</v>
      </c>
      <c r="B98" s="3">
        <v>126.133333333333</v>
      </c>
      <c r="C98">
        <f t="shared" si="9"/>
        <v>104.20362393916155</v>
      </c>
      <c r="D98">
        <f t="shared" si="10"/>
        <v>-0.45462485824938659</v>
      </c>
      <c r="E98">
        <f t="shared" si="11"/>
        <v>19.359310099287175</v>
      </c>
      <c r="F98" s="3">
        <f t="shared" si="8"/>
        <v>123.56293403844872</v>
      </c>
      <c r="G98" s="3"/>
    </row>
    <row r="99" spans="1:7" x14ac:dyDescent="0.35">
      <c r="A99" s="2">
        <v>41365</v>
      </c>
      <c r="B99" s="3">
        <v>93.6666666666666</v>
      </c>
      <c r="C99">
        <f t="shared" si="9"/>
        <v>104.21923339485964</v>
      </c>
      <c r="D99">
        <f t="shared" si="10"/>
        <v>-0.36057799545988983</v>
      </c>
      <c r="E99">
        <f t="shared" si="11"/>
        <v>-12.057316532824986</v>
      </c>
      <c r="F99" s="3">
        <f t="shared" si="8"/>
        <v>92.161916862034658</v>
      </c>
      <c r="G99" s="3"/>
    </row>
    <row r="100" spans="1:7" x14ac:dyDescent="0.35">
      <c r="A100" s="2">
        <v>41456</v>
      </c>
      <c r="B100" s="3">
        <v>82.2</v>
      </c>
      <c r="C100">
        <f t="shared" si="9"/>
        <v>103.72532319914475</v>
      </c>
      <c r="D100">
        <f t="shared" si="10"/>
        <v>-0.38724443551088972</v>
      </c>
      <c r="E100">
        <f t="shared" si="11"/>
        <v>-21.098660158328748</v>
      </c>
      <c r="F100" s="3">
        <f t="shared" si="8"/>
        <v>82.626663040815998</v>
      </c>
      <c r="G100" s="3"/>
    </row>
    <row r="101" spans="1:7" x14ac:dyDescent="0.35">
      <c r="A101" s="2">
        <v>41548</v>
      </c>
      <c r="B101" s="3">
        <v>107.633333333333</v>
      </c>
      <c r="C101">
        <f t="shared" si="9"/>
        <v>102.67564486076603</v>
      </c>
      <c r="D101">
        <f t="shared" si="10"/>
        <v>-0.51973121608445705</v>
      </c>
      <c r="E101">
        <f t="shared" si="11"/>
        <v>7.0774769617440603</v>
      </c>
      <c r="F101" s="3">
        <f t="shared" si="8"/>
        <v>109.75312182251008</v>
      </c>
      <c r="G101" s="3"/>
    </row>
    <row r="102" spans="1:7" x14ac:dyDescent="0.35">
      <c r="A102" s="2">
        <v>41640</v>
      </c>
      <c r="B102" s="3">
        <v>113.833333333333</v>
      </c>
      <c r="C102">
        <f t="shared" si="9"/>
        <v>100.61953556255443</v>
      </c>
      <c r="D102">
        <f t="shared" si="10"/>
        <v>-0.82700683250988472</v>
      </c>
      <c r="E102">
        <f t="shared" si="11"/>
        <v>18.130207633585453</v>
      </c>
      <c r="F102" s="3">
        <f t="shared" si="8"/>
        <v>118.74974319613989</v>
      </c>
      <c r="G102" s="3"/>
    </row>
    <row r="103" spans="1:7" x14ac:dyDescent="0.35">
      <c r="A103" s="2">
        <v>41730</v>
      </c>
      <c r="B103" s="3">
        <v>88.033333333333303</v>
      </c>
      <c r="C103">
        <f t="shared" si="9"/>
        <v>99.852152957267293</v>
      </c>
      <c r="D103">
        <f t="shared" si="10"/>
        <v>-0.81508198706533563</v>
      </c>
      <c r="E103">
        <f t="shared" si="11"/>
        <v>-12.009617151046788</v>
      </c>
      <c r="F103" s="3">
        <f t="shared" si="8"/>
        <v>87.842535806220511</v>
      </c>
      <c r="G103" s="3"/>
    </row>
    <row r="104" spans="1:7" x14ac:dyDescent="0.35">
      <c r="A104" s="2">
        <v>41821</v>
      </c>
      <c r="B104" s="3">
        <v>84</v>
      </c>
      <c r="C104">
        <f t="shared" si="9"/>
        <v>100.24938880782732</v>
      </c>
      <c r="D104">
        <f t="shared" si="10"/>
        <v>-0.57261841954026405</v>
      </c>
      <c r="E104">
        <f t="shared" si="11"/>
        <v>-20.128805888228463</v>
      </c>
      <c r="F104" s="3">
        <f t="shared" si="8"/>
        <v>80.12058291959886</v>
      </c>
      <c r="G104" s="3"/>
    </row>
    <row r="105" spans="1:7" x14ac:dyDescent="0.35">
      <c r="A105" s="2">
        <v>41913</v>
      </c>
      <c r="B105" s="3">
        <v>105.833333333333</v>
      </c>
      <c r="C105">
        <f t="shared" si="9"/>
        <v>99.492587584947444</v>
      </c>
      <c r="D105">
        <f t="shared" si="10"/>
        <v>-0.60945498020818567</v>
      </c>
      <c r="E105">
        <f t="shared" si="11"/>
        <v>6.93013071907236</v>
      </c>
      <c r="F105" s="3">
        <f t="shared" si="8"/>
        <v>106.42271830401981</v>
      </c>
      <c r="G105" s="3"/>
    </row>
    <row r="106" spans="1:7" x14ac:dyDescent="0.35">
      <c r="A106" s="2">
        <v>42005</v>
      </c>
      <c r="B106" s="3">
        <v>121</v>
      </c>
      <c r="C106">
        <f t="shared" si="9"/>
        <v>99.68046455707433</v>
      </c>
      <c r="D106">
        <f t="shared" si="10"/>
        <v>-0.44998858974117123</v>
      </c>
      <c r="E106">
        <f t="shared" si="11"/>
        <v>18.768073195453496</v>
      </c>
      <c r="F106" s="3">
        <f t="shared" si="8"/>
        <v>118.44853775252783</v>
      </c>
      <c r="G106" s="3"/>
    </row>
    <row r="107" spans="1:7" x14ac:dyDescent="0.35">
      <c r="A107" s="2">
        <v>42095</v>
      </c>
      <c r="B107" s="3">
        <v>89.6666666666666</v>
      </c>
      <c r="C107">
        <f t="shared" si="9"/>
        <v>99.719637537409213</v>
      </c>
      <c r="D107">
        <f t="shared" si="10"/>
        <v>-0.35215627572596053</v>
      </c>
      <c r="E107">
        <f t="shared" si="11"/>
        <v>-11.618287894985954</v>
      </c>
      <c r="F107" s="3">
        <f t="shared" si="8"/>
        <v>88.101349642423259</v>
      </c>
      <c r="G107" s="3"/>
    </row>
    <row r="108" spans="1:7" x14ac:dyDescent="0.35">
      <c r="A108" s="2">
        <v>42186</v>
      </c>
      <c r="B108" s="3">
        <v>83.5</v>
      </c>
      <c r="C108">
        <f t="shared" si="9"/>
        <v>100.2197461869923</v>
      </c>
      <c r="D108">
        <f t="shared" si="10"/>
        <v>-0.18170329066415175</v>
      </c>
      <c r="E108">
        <f t="shared" si="11"/>
        <v>-19.44699394798123</v>
      </c>
      <c r="F108" s="3">
        <f t="shared" si="8"/>
        <v>80.772752239011069</v>
      </c>
      <c r="G108" s="3"/>
    </row>
    <row r="109" spans="1:7" x14ac:dyDescent="0.35">
      <c r="A109" s="2">
        <v>42278</v>
      </c>
      <c r="B109" s="3">
        <v>105.8</v>
      </c>
      <c r="C109">
        <f t="shared" si="9"/>
        <v>99.804408173248049</v>
      </c>
      <c r="D109">
        <f t="shared" si="10"/>
        <v>-0.22843023528017076</v>
      </c>
      <c r="E109">
        <f t="shared" si="11"/>
        <v>6.7432229406082778</v>
      </c>
      <c r="F109" s="3">
        <f t="shared" si="8"/>
        <v>106.54763111385633</v>
      </c>
      <c r="G109" s="3"/>
    </row>
    <row r="110" spans="1:7" x14ac:dyDescent="0.35">
      <c r="A110" s="2">
        <v>42370</v>
      </c>
      <c r="B110" s="3">
        <v>120.23333333333299</v>
      </c>
      <c r="C110">
        <f t="shared" si="9"/>
        <v>99.953834377950201</v>
      </c>
      <c r="D110">
        <f t="shared" si="10"/>
        <v>-0.15285894728370619</v>
      </c>
      <c r="E110">
        <f t="shared" si="11"/>
        <v>19.070358347439356</v>
      </c>
      <c r="F110" s="3">
        <f t="shared" si="8"/>
        <v>119.02419272538955</v>
      </c>
      <c r="G110" s="3"/>
    </row>
    <row r="111" spans="1:7" x14ac:dyDescent="0.35">
      <c r="A111" s="2">
        <v>42461</v>
      </c>
      <c r="B111" s="3">
        <v>96.266666666666694</v>
      </c>
      <c r="C111">
        <f t="shared" si="9"/>
        <v>101.41777125686373</v>
      </c>
      <c r="D111">
        <f t="shared" si="10"/>
        <v>0.17050021795574083</v>
      </c>
      <c r="E111">
        <f t="shared" si="11"/>
        <v>-10.324851234028172</v>
      </c>
      <c r="F111" s="3">
        <f t="shared" si="8"/>
        <v>91.092920022835557</v>
      </c>
      <c r="G111" s="3"/>
    </row>
    <row r="112" spans="1:7" x14ac:dyDescent="0.35">
      <c r="A112" s="2">
        <v>42552</v>
      </c>
      <c r="B112" s="3">
        <v>86.133333333333397</v>
      </c>
      <c r="C112">
        <f t="shared" si="9"/>
        <v>102.38668263611851</v>
      </c>
      <c r="D112">
        <f t="shared" si="10"/>
        <v>0.33018245021554815</v>
      </c>
      <c r="E112">
        <f t="shared" si="11"/>
        <v>-18.808265018942006</v>
      </c>
      <c r="F112" s="3">
        <f t="shared" si="8"/>
        <v>83.578417617176498</v>
      </c>
      <c r="G112" s="3"/>
    </row>
    <row r="113" spans="1:7" x14ac:dyDescent="0.35">
      <c r="A113" s="2">
        <v>42644</v>
      </c>
      <c r="B113" s="3">
        <v>111.866666666667</v>
      </c>
      <c r="C113">
        <f t="shared" si="9"/>
        <v>103.198180814279</v>
      </c>
      <c r="D113">
        <f t="shared" si="10"/>
        <v>0.42644559580453678</v>
      </c>
      <c r="E113">
        <f t="shared" si="11"/>
        <v>7.1282755229642225</v>
      </c>
      <c r="F113" s="3">
        <f t="shared" si="8"/>
        <v>110.32645633724321</v>
      </c>
      <c r="G113" s="3"/>
    </row>
    <row r="114" spans="1:7" x14ac:dyDescent="0.35">
      <c r="A114" s="2">
        <v>42736</v>
      </c>
      <c r="B114" s="3">
        <v>117.866666666667</v>
      </c>
      <c r="C114">
        <f t="shared" si="9"/>
        <v>102.65896279191237</v>
      </c>
      <c r="D114">
        <f t="shared" si="10"/>
        <v>0.23331287217030428</v>
      </c>
      <c r="E114">
        <f t="shared" si="11"/>
        <v>18.297827452902411</v>
      </c>
      <c r="F114" s="3">
        <f t="shared" si="8"/>
        <v>120.95679024481478</v>
      </c>
      <c r="G114" s="3"/>
    </row>
    <row r="115" spans="1:7" x14ac:dyDescent="0.35">
      <c r="A115" s="2">
        <v>42826</v>
      </c>
      <c r="B115" s="3">
        <v>91.033333333333303</v>
      </c>
      <c r="C115">
        <f t="shared" si="9"/>
        <v>102.58545744473844</v>
      </c>
      <c r="D115">
        <f t="shared" si="10"/>
        <v>0.17194922830145645</v>
      </c>
      <c r="E115">
        <f t="shared" si="11"/>
        <v>-10.570305809503564</v>
      </c>
      <c r="F115" s="3">
        <f t="shared" si="8"/>
        <v>92.015151635234872</v>
      </c>
      <c r="G115" s="3"/>
    </row>
    <row r="116" spans="1:7" x14ac:dyDescent="0.35">
      <c r="A116" s="2">
        <v>42917</v>
      </c>
      <c r="B116" s="3">
        <v>86.7</v>
      </c>
      <c r="C116">
        <f t="shared" si="9"/>
        <v>103.30757834222032</v>
      </c>
      <c r="D116">
        <f t="shared" si="10"/>
        <v>0.28198356213754244</v>
      </c>
      <c r="E116">
        <f t="shared" si="11"/>
        <v>-18.36812768359767</v>
      </c>
      <c r="F116" s="3">
        <f t="shared" si="8"/>
        <v>84.939450658622661</v>
      </c>
      <c r="G116" s="3"/>
    </row>
    <row r="117" spans="1:7" x14ac:dyDescent="0.35">
      <c r="A117" s="2">
        <v>43009</v>
      </c>
      <c r="B117" s="3">
        <v>110.366666666667</v>
      </c>
      <c r="C117">
        <f t="shared" si="9"/>
        <v>103.51932775222686</v>
      </c>
      <c r="D117">
        <f t="shared" si="10"/>
        <v>0.26793673171134053</v>
      </c>
      <c r="E117">
        <f t="shared" si="11"/>
        <v>7.0720882012594064</v>
      </c>
      <c r="F117" s="3">
        <f t="shared" si="8"/>
        <v>110.59141595348626</v>
      </c>
      <c r="G117" s="3"/>
    </row>
    <row r="118" spans="1:7" x14ac:dyDescent="0.35">
      <c r="A118" s="2">
        <v>43101</v>
      </c>
      <c r="B118" s="3">
        <v>122.833333333333</v>
      </c>
      <c r="C118">
        <f t="shared" si="9"/>
        <v>103.93691276323668</v>
      </c>
      <c r="D118">
        <f t="shared" si="10"/>
        <v>0.29786638757103634</v>
      </c>
      <c r="E118">
        <f t="shared" si="11"/>
        <v>18.417546076341193</v>
      </c>
      <c r="F118" s="3">
        <f t="shared" si="8"/>
        <v>122.35445883957787</v>
      </c>
      <c r="G118" s="3"/>
    </row>
    <row r="119" spans="1:7" x14ac:dyDescent="0.35">
      <c r="A119" s="2">
        <v>43191</v>
      </c>
      <c r="B119" s="3">
        <v>89.133333333333297</v>
      </c>
      <c r="C119">
        <f t="shared" si="9"/>
        <v>103.32855114921355</v>
      </c>
      <c r="D119">
        <f t="shared" si="10"/>
        <v>0.11662078725220421</v>
      </c>
      <c r="E119">
        <f t="shared" si="11"/>
        <v>-11.295288210778903</v>
      </c>
      <c r="F119" s="3">
        <f t="shared" si="8"/>
        <v>92.033262938434646</v>
      </c>
      <c r="G119" s="3"/>
    </row>
    <row r="120" spans="1:7" x14ac:dyDescent="0.35">
      <c r="A120" s="2">
        <v>43282</v>
      </c>
      <c r="B120" s="3">
        <v>82.8</v>
      </c>
      <c r="C120">
        <f t="shared" si="9"/>
        <v>102.98976308589215</v>
      </c>
      <c r="D120">
        <f t="shared" si="10"/>
        <v>2.5539017137482883E-2</v>
      </c>
      <c r="E120">
        <f t="shared" si="11"/>
        <v>-18.732454764056566</v>
      </c>
      <c r="F120" s="3">
        <f t="shared" si="8"/>
        <v>84.257308321835581</v>
      </c>
      <c r="G120" s="3"/>
    </row>
    <row r="121" spans="1:7" x14ac:dyDescent="0.35">
      <c r="A121" s="2">
        <v>43374</v>
      </c>
      <c r="B121" s="3">
        <v>106.333333333333</v>
      </c>
      <c r="C121">
        <f t="shared" si="9"/>
        <v>102.26449070883844</v>
      </c>
      <c r="D121">
        <f t="shared" si="10"/>
        <v>-0.12462326170075631</v>
      </c>
      <c r="E121">
        <f t="shared" si="11"/>
        <v>6.4714390859064386</v>
      </c>
      <c r="F121" s="3">
        <f t="shared" si="8"/>
        <v>108.73592979474488</v>
      </c>
      <c r="G121" s="3"/>
    </row>
    <row r="122" spans="1:7" x14ac:dyDescent="0.35">
      <c r="A122" s="2">
        <v>43466</v>
      </c>
      <c r="B122" s="3">
        <v>114.166666666667</v>
      </c>
      <c r="C122">
        <f t="shared" si="9"/>
        <v>100.86171807577531</v>
      </c>
      <c r="D122">
        <f t="shared" si="10"/>
        <v>-0.38025313597322957</v>
      </c>
      <c r="E122">
        <f t="shared" si="11"/>
        <v>17.395026579251294</v>
      </c>
      <c r="F122" s="3">
        <f t="shared" si="8"/>
        <v>118.25674465502661</v>
      </c>
      <c r="G122" s="3"/>
    </row>
    <row r="123" spans="1:7" x14ac:dyDescent="0.35">
      <c r="A123" s="2">
        <v>43556</v>
      </c>
      <c r="B123" s="3">
        <v>92.066666666666606</v>
      </c>
      <c r="C123">
        <f t="shared" si="9"/>
        <v>101.05756292733078</v>
      </c>
      <c r="D123">
        <f t="shared" si="10"/>
        <v>-0.26503353846749095</v>
      </c>
      <c r="E123">
        <f t="shared" si="11"/>
        <v>-10.834409820755958</v>
      </c>
      <c r="F123" s="3">
        <f t="shared" si="8"/>
        <v>90.223153106574813</v>
      </c>
      <c r="G123" s="3"/>
    </row>
    <row r="124" spans="1:7" x14ac:dyDescent="0.35">
      <c r="A124" s="2">
        <v>43647</v>
      </c>
      <c r="B124" s="3">
        <v>84.8333333333334</v>
      </c>
      <c r="C124">
        <f t="shared" si="9"/>
        <v>101.34718113056863</v>
      </c>
      <c r="D124">
        <f t="shared" si="10"/>
        <v>-0.15410319012642265</v>
      </c>
      <c r="E124">
        <f t="shared" si="11"/>
        <v>-18.288733370692299</v>
      </c>
      <c r="F124" s="3">
        <f t="shared" si="8"/>
        <v>83.05844775987633</v>
      </c>
      <c r="G124" s="3"/>
    </row>
    <row r="125" spans="1:7" x14ac:dyDescent="0.35">
      <c r="A125" s="2">
        <v>43739</v>
      </c>
      <c r="B125" s="3">
        <v>111.9</v>
      </c>
      <c r="C125">
        <f t="shared" si="9"/>
        <v>102.04017453517248</v>
      </c>
      <c r="D125">
        <f t="shared" si="10"/>
        <v>1.5316128819632666E-2</v>
      </c>
      <c r="E125">
        <f t="shared" si="11"/>
        <v>7.1491163616906555</v>
      </c>
      <c r="F125" s="3">
        <f t="shared" si="8"/>
        <v>109.18929089686314</v>
      </c>
      <c r="G125" s="3"/>
    </row>
    <row r="126" spans="1:7" x14ac:dyDescent="0.35">
      <c r="A126" s="2">
        <v>43831</v>
      </c>
      <c r="B126" s="3">
        <v>113.966666666667</v>
      </c>
      <c r="C126">
        <f t="shared" si="9"/>
        <v>100.95872054867684</v>
      </c>
      <c r="D126">
        <f t="shared" si="10"/>
        <v>-0.20403789424342303</v>
      </c>
      <c r="E126">
        <f t="shared" si="11"/>
        <v>16.517610486999068</v>
      </c>
      <c r="F126" s="3">
        <f t="shared" si="8"/>
        <v>117.47633103567591</v>
      </c>
      <c r="G126" s="3"/>
    </row>
    <row r="127" spans="1:7" x14ac:dyDescent="0.35">
      <c r="A127" s="2">
        <v>43922</v>
      </c>
      <c r="B127" s="3">
        <v>83.7</v>
      </c>
      <c r="C127">
        <f t="shared" si="9"/>
        <v>99.510628087697924</v>
      </c>
      <c r="D127">
        <f t="shared" si="10"/>
        <v>-0.45284880759052099</v>
      </c>
      <c r="E127">
        <f t="shared" si="11"/>
        <v>-11.829653474144351</v>
      </c>
      <c r="F127" s="3">
        <f t="shared" si="8"/>
        <v>87.680974613553573</v>
      </c>
      <c r="G127" s="3"/>
    </row>
    <row r="128" spans="1:7" x14ac:dyDescent="0.35">
      <c r="A128" s="2">
        <v>44013</v>
      </c>
      <c r="B128" s="3">
        <v>85.233333333333405</v>
      </c>
      <c r="C128">
        <f t="shared" si="9"/>
        <v>99.950636764891073</v>
      </c>
      <c r="D128">
        <f t="shared" si="10"/>
        <v>-0.27427731063378713</v>
      </c>
      <c r="E128">
        <f t="shared" si="11"/>
        <v>-17.574447382865372</v>
      </c>
      <c r="F128" s="3">
        <f t="shared" si="8"/>
        <v>82.3761893820257</v>
      </c>
      <c r="G12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2C8C-C0C1-4D6A-BD12-A3ADF2160617}">
  <dimension ref="A1:C128"/>
  <sheetViews>
    <sheetView tabSelected="1" workbookViewId="0"/>
  </sheetViews>
  <sheetFormatPr defaultRowHeight="14.5" x14ac:dyDescent="0.35"/>
  <cols>
    <col min="1" max="1" width="11.26953125" bestFit="1" customWidth="1"/>
  </cols>
  <sheetData>
    <row r="1" spans="1:3" x14ac:dyDescent="0.35">
      <c r="A1" t="s">
        <v>9</v>
      </c>
      <c r="B1" t="s">
        <v>16</v>
      </c>
      <c r="C1" t="s">
        <v>17</v>
      </c>
    </row>
    <row r="2" spans="1:3" x14ac:dyDescent="0.35">
      <c r="A2" t="s">
        <v>6</v>
      </c>
    </row>
    <row r="6" spans="1:3" x14ac:dyDescent="0.35">
      <c r="A6" s="7">
        <v>32874</v>
      </c>
      <c r="B6">
        <v>91.975329260013595</v>
      </c>
      <c r="C6" s="3">
        <f>Quarterly!F6</f>
        <v>91.975329260013595</v>
      </c>
    </row>
    <row r="7" spans="1:3" x14ac:dyDescent="0.35">
      <c r="A7" s="7">
        <v>32964</v>
      </c>
      <c r="B7">
        <v>66.359558723693098</v>
      </c>
      <c r="C7" s="3">
        <f>Quarterly!F7</f>
        <v>83.496094229463665</v>
      </c>
    </row>
    <row r="8" spans="1:3" x14ac:dyDescent="0.35">
      <c r="A8" s="7">
        <v>33055</v>
      </c>
      <c r="B8">
        <v>55.268194161575003</v>
      </c>
      <c r="C8" s="3">
        <f>Quarterly!F8</f>
        <v>76.132876828241649</v>
      </c>
    </row>
    <row r="9" spans="1:3" x14ac:dyDescent="0.35">
      <c r="A9" s="7">
        <v>33147</v>
      </c>
      <c r="B9">
        <v>88.089579090291906</v>
      </c>
      <c r="C9" s="3">
        <f>Quarterly!F9</f>
        <v>82.998032504874359</v>
      </c>
    </row>
    <row r="10" spans="1:3" x14ac:dyDescent="0.35">
      <c r="A10" s="7">
        <v>33239</v>
      </c>
      <c r="B10">
        <v>102.34990495587201</v>
      </c>
      <c r="C10" s="3">
        <f>Quarterly!F10</f>
        <v>88.576114632611365</v>
      </c>
    </row>
    <row r="11" spans="1:3" x14ac:dyDescent="0.35">
      <c r="A11" s="7">
        <v>33329</v>
      </c>
      <c r="B11">
        <v>71.942966734555299</v>
      </c>
      <c r="C11" s="3">
        <f>Quarterly!F11</f>
        <v>77.619536368641278</v>
      </c>
    </row>
    <row r="12" spans="1:3" x14ac:dyDescent="0.35">
      <c r="A12" s="7">
        <v>33420</v>
      </c>
      <c r="B12">
        <v>54.8909368635438</v>
      </c>
      <c r="C12" s="3">
        <f>Quarterly!F12</f>
        <v>69.498932469128206</v>
      </c>
    </row>
    <row r="13" spans="1:3" x14ac:dyDescent="0.35">
      <c r="A13" s="7">
        <v>33512</v>
      </c>
      <c r="B13">
        <v>91.069911744738604</v>
      </c>
      <c r="C13" s="3">
        <f>Quarterly!F13</f>
        <v>82.920385487963202</v>
      </c>
    </row>
    <row r="14" spans="1:3" x14ac:dyDescent="0.35">
      <c r="A14" s="7">
        <v>33604</v>
      </c>
      <c r="B14">
        <v>103.066693822132</v>
      </c>
      <c r="C14" s="3">
        <f>Quarterly!F14</f>
        <v>89.74989683789407</v>
      </c>
    </row>
    <row r="15" spans="1:3" x14ac:dyDescent="0.35">
      <c r="A15" s="7">
        <v>33695</v>
      </c>
      <c r="B15">
        <v>68.887182620502401</v>
      </c>
      <c r="C15" s="3">
        <f>Quarterly!F15</f>
        <v>74.279006360085063</v>
      </c>
    </row>
    <row r="16" spans="1:3" x14ac:dyDescent="0.35">
      <c r="A16" s="7">
        <v>33786</v>
      </c>
      <c r="B16">
        <v>59.757556008146601</v>
      </c>
      <c r="C16" s="3">
        <f>Quarterly!F16</f>
        <v>67.697048812982814</v>
      </c>
    </row>
    <row r="17" spans="1:3" x14ac:dyDescent="0.35">
      <c r="A17" s="7">
        <v>33878</v>
      </c>
      <c r="B17">
        <v>96.426965376782107</v>
      </c>
      <c r="C17" s="3">
        <f>Quarterly!F17</f>
        <v>86.595362573287446</v>
      </c>
    </row>
    <row r="18" spans="1:3" x14ac:dyDescent="0.35">
      <c r="A18" s="7">
        <v>33970</v>
      </c>
      <c r="B18">
        <v>103.55712830957199</v>
      </c>
      <c r="C18" s="3">
        <f>Quarterly!F18</f>
        <v>93.228752986631463</v>
      </c>
    </row>
    <row r="19" spans="1:3" x14ac:dyDescent="0.35">
      <c r="A19" s="7">
        <v>34060</v>
      </c>
      <c r="B19">
        <v>73.376544467073998</v>
      </c>
      <c r="C19" s="3">
        <f>Quarterly!F19</f>
        <v>75.87955917331972</v>
      </c>
    </row>
    <row r="20" spans="1:3" x14ac:dyDescent="0.35">
      <c r="A20" s="7">
        <v>34151</v>
      </c>
      <c r="B20">
        <v>63.907386286490201</v>
      </c>
      <c r="C20" s="3">
        <f>Quarterly!F20</f>
        <v>69.734203842496342</v>
      </c>
    </row>
    <row r="21" spans="1:3" x14ac:dyDescent="0.35">
      <c r="A21" s="7">
        <v>34243</v>
      </c>
      <c r="B21">
        <v>104.462545824847</v>
      </c>
      <c r="C21" s="3">
        <f>Quarterly!F21</f>
        <v>93.770503845566935</v>
      </c>
    </row>
    <row r="22" spans="1:3" x14ac:dyDescent="0.35">
      <c r="A22" s="7">
        <v>34335</v>
      </c>
      <c r="B22">
        <v>102.6894365241</v>
      </c>
      <c r="C22" s="3">
        <f>Quarterly!F22</f>
        <v>97.957911094704855</v>
      </c>
    </row>
    <row r="23" spans="1:3" x14ac:dyDescent="0.35">
      <c r="A23" s="7">
        <v>34425</v>
      </c>
      <c r="B23">
        <v>75.149653767820794</v>
      </c>
      <c r="C23" s="3">
        <f>Quarterly!F23</f>
        <v>78.670762694909925</v>
      </c>
    </row>
    <row r="24" spans="1:3" x14ac:dyDescent="0.35">
      <c r="A24" s="7">
        <v>34516</v>
      </c>
      <c r="B24">
        <v>64.888255261371398</v>
      </c>
      <c r="C24" s="3">
        <f>Quarterly!F24</f>
        <v>71.74779918366778</v>
      </c>
    </row>
    <row r="25" spans="1:3" x14ac:dyDescent="0.35">
      <c r="A25" s="7">
        <v>34608</v>
      </c>
      <c r="B25">
        <v>91.484894772573</v>
      </c>
      <c r="C25" s="3">
        <f>Quarterly!F25</f>
        <v>93.397220811721837</v>
      </c>
    </row>
    <row r="26" spans="1:3" x14ac:dyDescent="0.35">
      <c r="A26" s="7">
        <v>34700</v>
      </c>
      <c r="B26">
        <v>106.009300746775</v>
      </c>
      <c r="C26" s="3">
        <f>Quarterly!F26</f>
        <v>99.674719169808469</v>
      </c>
    </row>
    <row r="27" spans="1:3" x14ac:dyDescent="0.35">
      <c r="A27" s="7">
        <v>34790</v>
      </c>
      <c r="B27">
        <v>75.149653767820794</v>
      </c>
      <c r="C27" s="3">
        <f>Quarterly!F27</f>
        <v>77.954273489864619</v>
      </c>
    </row>
    <row r="28" spans="1:3" x14ac:dyDescent="0.35">
      <c r="A28" s="7">
        <v>34881</v>
      </c>
      <c r="B28">
        <v>64.397820773930704</v>
      </c>
      <c r="C28" s="3">
        <f>Quarterly!F28</f>
        <v>70.254225480658846</v>
      </c>
    </row>
    <row r="29" spans="1:3" x14ac:dyDescent="0.35">
      <c r="A29" s="7">
        <v>34973</v>
      </c>
      <c r="B29">
        <v>97.256931432450799</v>
      </c>
      <c r="C29" s="3">
        <f>Quarterly!F29</f>
        <v>94.980768670526643</v>
      </c>
    </row>
    <row r="30" spans="1:3" x14ac:dyDescent="0.35">
      <c r="A30" s="7">
        <v>35065</v>
      </c>
      <c r="B30">
        <v>113.780801086219</v>
      </c>
      <c r="C30" s="3">
        <f>Quarterly!F30</f>
        <v>104.13326572845492</v>
      </c>
    </row>
    <row r="31" spans="1:3" x14ac:dyDescent="0.35">
      <c r="A31" s="7">
        <v>35156</v>
      </c>
      <c r="B31">
        <v>81.336673455532903</v>
      </c>
      <c r="C31" s="3">
        <f>Quarterly!F31</f>
        <v>81.173232509842109</v>
      </c>
    </row>
    <row r="32" spans="1:3" x14ac:dyDescent="0.35">
      <c r="A32" s="7">
        <v>35247</v>
      </c>
      <c r="B32">
        <v>70.698017651052297</v>
      </c>
      <c r="C32" s="3">
        <f>Quarterly!F32</f>
        <v>73.868484199167199</v>
      </c>
    </row>
    <row r="33" spans="1:3" x14ac:dyDescent="0.35">
      <c r="A33" s="7">
        <v>35339</v>
      </c>
      <c r="B33">
        <v>100.61452138492901</v>
      </c>
      <c r="C33" s="3">
        <f>Quarterly!F33</f>
        <v>99.730754223560965</v>
      </c>
    </row>
    <row r="34" spans="1:3" x14ac:dyDescent="0.35">
      <c r="A34" s="7">
        <v>35431</v>
      </c>
      <c r="B34">
        <v>111.366354378819</v>
      </c>
      <c r="C34" s="3">
        <f>Quarterly!F34</f>
        <v>108.00722965582457</v>
      </c>
    </row>
    <row r="35" spans="1:3" x14ac:dyDescent="0.35">
      <c r="A35" s="7">
        <v>35521</v>
      </c>
      <c r="B35">
        <v>82.921154107264101</v>
      </c>
      <c r="C35" s="3">
        <f>Quarterly!F35</f>
        <v>83.761107704890861</v>
      </c>
    </row>
    <row r="36" spans="1:3" x14ac:dyDescent="0.35">
      <c r="A36" s="7">
        <v>35612</v>
      </c>
      <c r="B36">
        <v>73.866978954514593</v>
      </c>
      <c r="C36" s="3">
        <f>Quarterly!F36</f>
        <v>76.301967190711579</v>
      </c>
    </row>
    <row r="37" spans="1:3" x14ac:dyDescent="0.35">
      <c r="A37" s="7">
        <v>35704</v>
      </c>
      <c r="B37">
        <v>101.670841819416</v>
      </c>
      <c r="C37" s="3">
        <f>Quarterly!F37</f>
        <v>102.23817756019665</v>
      </c>
    </row>
    <row r="38" spans="1:3" x14ac:dyDescent="0.35">
      <c r="A38" s="7">
        <v>35796</v>
      </c>
      <c r="B38">
        <v>109.73333333333299</v>
      </c>
      <c r="C38" s="3">
        <f>Quarterly!F38</f>
        <v>109.63300057503608</v>
      </c>
    </row>
    <row r="39" spans="1:3" x14ac:dyDescent="0.35">
      <c r="A39" s="7">
        <v>35886</v>
      </c>
      <c r="B39">
        <v>83.066666666666606</v>
      </c>
      <c r="C39" s="3">
        <f>Quarterly!F39</f>
        <v>84.553862004971037</v>
      </c>
    </row>
    <row r="40" spans="1:3" x14ac:dyDescent="0.35">
      <c r="A40" s="7">
        <v>35977</v>
      </c>
      <c r="B40">
        <v>74</v>
      </c>
      <c r="C40" s="3">
        <f>Quarterly!F40</f>
        <v>76.530003193195412</v>
      </c>
    </row>
    <row r="41" spans="1:3" x14ac:dyDescent="0.35">
      <c r="A41" s="7">
        <v>36069</v>
      </c>
      <c r="B41">
        <v>103.666666666667</v>
      </c>
      <c r="C41" s="3">
        <f>Quarterly!F41</f>
        <v>103.23727627862368</v>
      </c>
    </row>
    <row r="42" spans="1:3" x14ac:dyDescent="0.35">
      <c r="A42" s="7">
        <v>36161</v>
      </c>
      <c r="B42">
        <v>115.133333333333</v>
      </c>
      <c r="C42" s="3">
        <f>Quarterly!F42</f>
        <v>112.02427551866357</v>
      </c>
    </row>
    <row r="43" spans="1:3" x14ac:dyDescent="0.35">
      <c r="A43" s="7">
        <v>36251</v>
      </c>
      <c r="B43">
        <v>86.466666666666697</v>
      </c>
      <c r="C43" s="3">
        <f>Quarterly!F43</f>
        <v>86.553727451265374</v>
      </c>
    </row>
    <row r="44" spans="1:3" x14ac:dyDescent="0.35">
      <c r="A44" s="7">
        <v>36342</v>
      </c>
      <c r="B44">
        <v>77.3</v>
      </c>
      <c r="C44" s="3">
        <f>Quarterly!F44</f>
        <v>78.643901662445074</v>
      </c>
    </row>
    <row r="45" spans="1:3" x14ac:dyDescent="0.35">
      <c r="A45" s="7">
        <v>36434</v>
      </c>
      <c r="B45">
        <v>107.966666666667</v>
      </c>
      <c r="C45" s="3">
        <f>Quarterly!F45</f>
        <v>106.50619745724838</v>
      </c>
    </row>
    <row r="46" spans="1:3" x14ac:dyDescent="0.35">
      <c r="A46" s="7">
        <v>36526</v>
      </c>
      <c r="B46">
        <v>118.533333333333</v>
      </c>
      <c r="C46" s="3">
        <f>Quarterly!F46</f>
        <v>115.72970183290528</v>
      </c>
    </row>
    <row r="47" spans="1:3" x14ac:dyDescent="0.35">
      <c r="A47" s="7">
        <v>36617</v>
      </c>
      <c r="B47">
        <v>92.766666666666694</v>
      </c>
      <c r="C47" s="3">
        <f>Quarterly!F47</f>
        <v>90.844015057287947</v>
      </c>
    </row>
    <row r="48" spans="1:3" x14ac:dyDescent="0.35">
      <c r="A48" s="7">
        <v>36708</v>
      </c>
      <c r="B48">
        <v>82</v>
      </c>
      <c r="C48" s="3">
        <f>Quarterly!F48</f>
        <v>82.752751233078911</v>
      </c>
    </row>
    <row r="49" spans="1:3" x14ac:dyDescent="0.35">
      <c r="A49" s="7">
        <v>36800</v>
      </c>
      <c r="B49">
        <v>110.633333333333</v>
      </c>
      <c r="C49" s="3">
        <f>Quarterly!F49</f>
        <v>110.66733649669924</v>
      </c>
    </row>
    <row r="50" spans="1:3" x14ac:dyDescent="0.35">
      <c r="A50" s="7">
        <v>36892</v>
      </c>
      <c r="B50">
        <v>127.366666666667</v>
      </c>
      <c r="C50" s="3">
        <f>Quarterly!F50</f>
        <v>122.18443351289557</v>
      </c>
    </row>
    <row r="51" spans="1:3" x14ac:dyDescent="0.35">
      <c r="A51" s="7">
        <v>36982</v>
      </c>
      <c r="B51">
        <v>95.266666666666694</v>
      </c>
      <c r="C51" s="3">
        <f>Quarterly!F51</f>
        <v>95.606235500047106</v>
      </c>
    </row>
    <row r="52" spans="1:3" x14ac:dyDescent="0.35">
      <c r="A52" s="7">
        <v>37073</v>
      </c>
      <c r="B52">
        <v>84.1</v>
      </c>
      <c r="C52" s="3">
        <f>Quarterly!F52</f>
        <v>86.652699529450842</v>
      </c>
    </row>
    <row r="53" spans="1:3" x14ac:dyDescent="0.35">
      <c r="A53" s="7">
        <v>37165</v>
      </c>
      <c r="B53">
        <v>111.566666666667</v>
      </c>
      <c r="C53" s="3">
        <f>Quarterly!F53</f>
        <v>113.99253329005404</v>
      </c>
    </row>
    <row r="54" spans="1:3" x14ac:dyDescent="0.35">
      <c r="A54" s="7">
        <v>37257</v>
      </c>
      <c r="B54">
        <v>123.433333333333</v>
      </c>
      <c r="C54" s="3">
        <f>Quarterly!F54</f>
        <v>124.10841935168989</v>
      </c>
    </row>
    <row r="55" spans="1:3" x14ac:dyDescent="0.35">
      <c r="A55" s="7">
        <v>37347</v>
      </c>
      <c r="B55">
        <v>94</v>
      </c>
      <c r="C55" s="3">
        <f>Quarterly!F55</f>
        <v>96.195540346288695</v>
      </c>
    </row>
    <row r="56" spans="1:3" x14ac:dyDescent="0.35">
      <c r="A56" s="7">
        <v>37438</v>
      </c>
      <c r="B56">
        <v>86</v>
      </c>
      <c r="C56" s="3">
        <f>Quarterly!F56</f>
        <v>87.342741461040191</v>
      </c>
    </row>
    <row r="57" spans="1:3" x14ac:dyDescent="0.35">
      <c r="A57" s="7">
        <v>37530</v>
      </c>
      <c r="B57">
        <v>118.73333333333299</v>
      </c>
      <c r="C57" s="3">
        <f>Quarterly!F57</f>
        <v>116.57529072233257</v>
      </c>
    </row>
    <row r="58" spans="1:3" x14ac:dyDescent="0.35">
      <c r="A58" s="7">
        <v>37622</v>
      </c>
      <c r="B58">
        <v>123.26666666666701</v>
      </c>
      <c r="C58" s="3">
        <f>Quarterly!F58</f>
        <v>125.16587051906382</v>
      </c>
    </row>
    <row r="59" spans="1:3" x14ac:dyDescent="0.35">
      <c r="A59" s="7">
        <v>37712</v>
      </c>
      <c r="B59">
        <v>95.433333333333394</v>
      </c>
      <c r="C59" s="3">
        <f>Quarterly!F59</f>
        <v>97.209717532436315</v>
      </c>
    </row>
    <row r="60" spans="1:3" x14ac:dyDescent="0.35">
      <c r="A60" s="7">
        <v>37803</v>
      </c>
      <c r="B60">
        <v>89.433333333333294</v>
      </c>
      <c r="C60" s="3">
        <f>Quarterly!F60</f>
        <v>89.18278622220312</v>
      </c>
    </row>
    <row r="61" spans="1:3" x14ac:dyDescent="0.35">
      <c r="A61" s="7">
        <v>37895</v>
      </c>
      <c r="B61">
        <v>120.7</v>
      </c>
      <c r="C61" s="3">
        <f>Quarterly!F61</f>
        <v>118.71543871628144</v>
      </c>
    </row>
    <row r="62" spans="1:3" x14ac:dyDescent="0.35">
      <c r="A62" s="7">
        <v>37987</v>
      </c>
      <c r="B62">
        <v>133.36666666666699</v>
      </c>
      <c r="C62" s="3">
        <f>Quarterly!F62</f>
        <v>129.49254362714657</v>
      </c>
    </row>
    <row r="63" spans="1:3" x14ac:dyDescent="0.35">
      <c r="A63" s="7">
        <v>38078</v>
      </c>
      <c r="B63">
        <v>98.466666666666598</v>
      </c>
      <c r="C63" s="3">
        <f>Quarterly!F63</f>
        <v>100.34002105284017</v>
      </c>
    </row>
    <row r="64" spans="1:3" x14ac:dyDescent="0.35">
      <c r="A64" s="7">
        <v>38169</v>
      </c>
      <c r="B64">
        <v>87.733333333333306</v>
      </c>
      <c r="C64" s="3">
        <f>Quarterly!F64</f>
        <v>91.083439796758014</v>
      </c>
    </row>
    <row r="65" spans="1:3" x14ac:dyDescent="0.35">
      <c r="A65" s="7">
        <v>38261</v>
      </c>
      <c r="B65">
        <v>116.466666666667</v>
      </c>
      <c r="C65" s="3">
        <f>Quarterly!F65</f>
        <v>119.28681278248526</v>
      </c>
    </row>
    <row r="66" spans="1:3" x14ac:dyDescent="0.35">
      <c r="A66" s="7">
        <v>38353</v>
      </c>
      <c r="B66">
        <v>130.46666666666701</v>
      </c>
      <c r="C66" s="3">
        <f>Quarterly!F66</f>
        <v>129.7185267373354</v>
      </c>
    </row>
    <row r="67" spans="1:3" x14ac:dyDescent="0.35">
      <c r="A67" s="7">
        <v>38443</v>
      </c>
      <c r="B67">
        <v>98.733333333333306</v>
      </c>
      <c r="C67" s="3">
        <f>Quarterly!F67</f>
        <v>99.869392471436797</v>
      </c>
    </row>
    <row r="68" spans="1:3" x14ac:dyDescent="0.35">
      <c r="A68" s="7">
        <v>38534</v>
      </c>
      <c r="B68">
        <v>87.266666666666694</v>
      </c>
      <c r="C68" s="3">
        <f>Quarterly!F68</f>
        <v>89.997663061087906</v>
      </c>
    </row>
    <row r="69" spans="1:3" x14ac:dyDescent="0.35">
      <c r="A69" s="7">
        <v>38626</v>
      </c>
      <c r="B69">
        <v>118.966666666667</v>
      </c>
      <c r="C69" s="3">
        <f>Quarterly!F69</f>
        <v>119.2400892474724</v>
      </c>
    </row>
    <row r="70" spans="1:3" x14ac:dyDescent="0.35">
      <c r="A70" s="7">
        <v>38718</v>
      </c>
      <c r="B70">
        <v>135.76666666666699</v>
      </c>
      <c r="C70" s="3">
        <f>Quarterly!F70</f>
        <v>131.62438014918914</v>
      </c>
    </row>
    <row r="71" spans="1:3" x14ac:dyDescent="0.35">
      <c r="A71" s="7">
        <v>38808</v>
      </c>
      <c r="B71">
        <v>96.5</v>
      </c>
      <c r="C71" s="3">
        <f>Quarterly!F71</f>
        <v>99.440675686296117</v>
      </c>
    </row>
    <row r="72" spans="1:3" x14ac:dyDescent="0.35">
      <c r="A72" s="7">
        <v>38899</v>
      </c>
      <c r="B72">
        <v>86.5</v>
      </c>
      <c r="C72" s="3">
        <f>Quarterly!F72</f>
        <v>89.408720679536032</v>
      </c>
    </row>
    <row r="73" spans="1:3" x14ac:dyDescent="0.35">
      <c r="A73" s="7">
        <v>38991</v>
      </c>
      <c r="B73">
        <v>115.533333333333</v>
      </c>
      <c r="C73" s="3">
        <f>Quarterly!F73</f>
        <v>117.9695925219095</v>
      </c>
    </row>
    <row r="74" spans="1:3" x14ac:dyDescent="0.35">
      <c r="A74" s="7">
        <v>39083</v>
      </c>
      <c r="B74">
        <v>129.19999999999999</v>
      </c>
      <c r="C74" s="3">
        <f>Quarterly!F74</f>
        <v>129.33409479632024</v>
      </c>
    </row>
    <row r="75" spans="1:3" x14ac:dyDescent="0.35">
      <c r="A75" s="7">
        <v>39173</v>
      </c>
      <c r="B75">
        <v>95.3333333333334</v>
      </c>
      <c r="C75" s="3">
        <f>Quarterly!F75</f>
        <v>96.769050104034733</v>
      </c>
    </row>
    <row r="76" spans="1:3" x14ac:dyDescent="0.35">
      <c r="A76" s="7">
        <v>39264</v>
      </c>
      <c r="B76">
        <v>89.233333333333306</v>
      </c>
      <c r="C76" s="3">
        <f>Quarterly!F76</f>
        <v>88.17060802406985</v>
      </c>
    </row>
    <row r="77" spans="1:3" x14ac:dyDescent="0.35">
      <c r="A77" s="7">
        <v>39356</v>
      </c>
      <c r="B77">
        <v>123.466666666667</v>
      </c>
      <c r="C77" s="3">
        <f>Quarterly!F77</f>
        <v>119.3556290849036</v>
      </c>
    </row>
    <row r="78" spans="1:3" x14ac:dyDescent="0.35">
      <c r="A78" s="7">
        <v>39448</v>
      </c>
      <c r="B78">
        <v>135.36666666666699</v>
      </c>
      <c r="C78" s="3">
        <f>Quarterly!F78</f>
        <v>131.9060950691034</v>
      </c>
    </row>
    <row r="79" spans="1:3" x14ac:dyDescent="0.35">
      <c r="A79" s="7">
        <v>39539</v>
      </c>
      <c r="B79">
        <v>101.5</v>
      </c>
      <c r="C79" s="3">
        <f>Quarterly!F79</f>
        <v>100.13966884840913</v>
      </c>
    </row>
    <row r="80" spans="1:3" x14ac:dyDescent="0.35">
      <c r="A80" s="7">
        <v>39630</v>
      </c>
      <c r="B80">
        <v>89.4</v>
      </c>
      <c r="C80" s="3">
        <f>Quarterly!F80</f>
        <v>90.73997371130433</v>
      </c>
    </row>
    <row r="81" spans="1:3" x14ac:dyDescent="0.35">
      <c r="A81" s="7">
        <v>39722</v>
      </c>
      <c r="B81">
        <v>119</v>
      </c>
      <c r="C81" s="3">
        <f>Quarterly!F81</f>
        <v>120.56786359640893</v>
      </c>
    </row>
    <row r="82" spans="1:3" x14ac:dyDescent="0.35">
      <c r="A82" s="7">
        <v>39814</v>
      </c>
      <c r="B82">
        <v>130.433333333333</v>
      </c>
      <c r="C82" s="3">
        <f>Quarterly!F82</f>
        <v>131.78699740515984</v>
      </c>
    </row>
    <row r="83" spans="1:3" x14ac:dyDescent="0.35">
      <c r="A83" s="7">
        <v>39904</v>
      </c>
      <c r="B83">
        <v>96.5</v>
      </c>
      <c r="C83" s="3">
        <f>Quarterly!F83</f>
        <v>98.581638770114111</v>
      </c>
    </row>
    <row r="84" spans="1:3" x14ac:dyDescent="0.35">
      <c r="A84" s="7">
        <v>39995</v>
      </c>
      <c r="B84">
        <v>90.066666666666606</v>
      </c>
      <c r="C84" s="3">
        <f>Quarterly!F84</f>
        <v>89.847775264618889</v>
      </c>
    </row>
    <row r="85" spans="1:3" x14ac:dyDescent="0.35">
      <c r="A85" s="7">
        <v>40087</v>
      </c>
      <c r="B85">
        <v>117.76666666666701</v>
      </c>
      <c r="C85" s="3">
        <f>Quarterly!F85</f>
        <v>119.07560478932523</v>
      </c>
    </row>
    <row r="86" spans="1:3" x14ac:dyDescent="0.35">
      <c r="A86" s="7">
        <v>40179</v>
      </c>
      <c r="B86">
        <v>134.73333333333301</v>
      </c>
      <c r="C86" s="3">
        <f>Quarterly!F86</f>
        <v>132.19178163425724</v>
      </c>
    </row>
    <row r="87" spans="1:3" x14ac:dyDescent="0.35">
      <c r="A87" s="7">
        <v>40269</v>
      </c>
      <c r="B87">
        <v>98.566666666666706</v>
      </c>
      <c r="C87" s="3">
        <f>Quarterly!F87</f>
        <v>98.819784850000133</v>
      </c>
    </row>
    <row r="88" spans="1:3" x14ac:dyDescent="0.35">
      <c r="A88" s="7">
        <v>40360</v>
      </c>
      <c r="B88">
        <v>86.6666666666666</v>
      </c>
      <c r="C88" s="3">
        <f>Quarterly!F88</f>
        <v>88.899645761212213</v>
      </c>
    </row>
    <row r="89" spans="1:3" x14ac:dyDescent="0.35">
      <c r="A89" s="7">
        <v>40452</v>
      </c>
      <c r="B89">
        <v>122.6</v>
      </c>
      <c r="C89" s="3">
        <f>Quarterly!F89</f>
        <v>120.30650911458835</v>
      </c>
    </row>
    <row r="90" spans="1:3" x14ac:dyDescent="0.35">
      <c r="A90" s="7">
        <v>40544</v>
      </c>
      <c r="B90">
        <v>126.333333333333</v>
      </c>
      <c r="C90" s="3">
        <f>Quarterly!F90</f>
        <v>130.08920794487625</v>
      </c>
    </row>
    <row r="91" spans="1:3" x14ac:dyDescent="0.35">
      <c r="A91" s="7">
        <v>40634</v>
      </c>
      <c r="B91">
        <v>92.466666666666697</v>
      </c>
      <c r="C91" s="3">
        <f>Quarterly!F91</f>
        <v>95.680639477149441</v>
      </c>
    </row>
    <row r="92" spans="1:3" x14ac:dyDescent="0.35">
      <c r="A92" s="7">
        <v>40725</v>
      </c>
      <c r="B92">
        <v>88.233333333333306</v>
      </c>
      <c r="C92" s="3">
        <f>Quarterly!F92</f>
        <v>87.335178291891324</v>
      </c>
    </row>
    <row r="93" spans="1:3" x14ac:dyDescent="0.35">
      <c r="A93" s="7">
        <v>40817</v>
      </c>
      <c r="B93">
        <v>108.3</v>
      </c>
      <c r="C93" s="3">
        <f>Quarterly!F93</f>
        <v>114.22937560945125</v>
      </c>
    </row>
    <row r="94" spans="1:3" x14ac:dyDescent="0.35">
      <c r="A94" s="7">
        <v>40909</v>
      </c>
      <c r="B94">
        <v>118.466666666667</v>
      </c>
      <c r="C94" s="3">
        <f>Quarterly!F94</f>
        <v>123.23555994165261</v>
      </c>
    </row>
    <row r="95" spans="1:3" x14ac:dyDescent="0.35">
      <c r="A95" s="7">
        <v>41000</v>
      </c>
      <c r="B95">
        <v>95.7</v>
      </c>
      <c r="C95" s="3">
        <f>Quarterly!F95</f>
        <v>92.186528563267657</v>
      </c>
    </row>
    <row r="96" spans="1:3" x14ac:dyDescent="0.35">
      <c r="A96" s="7">
        <v>41091</v>
      </c>
      <c r="B96">
        <v>85.8</v>
      </c>
      <c r="C96" s="3">
        <f>Quarterly!F96</f>
        <v>83.553030987510041</v>
      </c>
    </row>
    <row r="97" spans="1:3" x14ac:dyDescent="0.35">
      <c r="A97" s="7">
        <v>41183</v>
      </c>
      <c r="B97">
        <v>111.966666666667</v>
      </c>
      <c r="C97" s="3">
        <f>Quarterly!F97</f>
        <v>111.62307305772818</v>
      </c>
    </row>
    <row r="98" spans="1:3" x14ac:dyDescent="0.35">
      <c r="A98" s="7">
        <v>41275</v>
      </c>
      <c r="B98">
        <v>126.133333333333</v>
      </c>
      <c r="C98" s="3">
        <f>Quarterly!F98</f>
        <v>123.56293403844872</v>
      </c>
    </row>
    <row r="99" spans="1:3" x14ac:dyDescent="0.35">
      <c r="A99" s="7">
        <v>41365</v>
      </c>
      <c r="B99">
        <v>93.6666666666666</v>
      </c>
      <c r="C99" s="3">
        <f>Quarterly!F99</f>
        <v>92.161916862034658</v>
      </c>
    </row>
    <row r="100" spans="1:3" x14ac:dyDescent="0.35">
      <c r="A100" s="7">
        <v>41456</v>
      </c>
      <c r="B100">
        <v>82.2</v>
      </c>
      <c r="C100" s="3">
        <f>Quarterly!F100</f>
        <v>82.626663040815998</v>
      </c>
    </row>
    <row r="101" spans="1:3" x14ac:dyDescent="0.35">
      <c r="A101" s="7">
        <v>41548</v>
      </c>
      <c r="B101">
        <v>107.633333333333</v>
      </c>
      <c r="C101" s="3">
        <f>Quarterly!F101</f>
        <v>109.75312182251008</v>
      </c>
    </row>
    <row r="102" spans="1:3" x14ac:dyDescent="0.35">
      <c r="A102" s="7">
        <v>41640</v>
      </c>
      <c r="B102">
        <v>113.833333333333</v>
      </c>
      <c r="C102" s="3">
        <f>Quarterly!F102</f>
        <v>118.74974319613989</v>
      </c>
    </row>
    <row r="103" spans="1:3" x14ac:dyDescent="0.35">
      <c r="A103" s="7">
        <v>41730</v>
      </c>
      <c r="B103">
        <v>88.033333333333303</v>
      </c>
      <c r="C103" s="3">
        <f>Quarterly!F103</f>
        <v>87.842535806220511</v>
      </c>
    </row>
    <row r="104" spans="1:3" x14ac:dyDescent="0.35">
      <c r="A104" s="7">
        <v>41821</v>
      </c>
      <c r="B104">
        <v>84</v>
      </c>
      <c r="C104" s="3">
        <f>Quarterly!F104</f>
        <v>80.12058291959886</v>
      </c>
    </row>
    <row r="105" spans="1:3" x14ac:dyDescent="0.35">
      <c r="A105" s="7">
        <v>41913</v>
      </c>
      <c r="B105">
        <v>105.833333333333</v>
      </c>
      <c r="C105" s="3">
        <f>Quarterly!F105</f>
        <v>106.42271830401981</v>
      </c>
    </row>
    <row r="106" spans="1:3" x14ac:dyDescent="0.35">
      <c r="A106" s="7">
        <v>42005</v>
      </c>
      <c r="B106">
        <v>121</v>
      </c>
      <c r="C106" s="3">
        <f>Quarterly!F106</f>
        <v>118.44853775252783</v>
      </c>
    </row>
    <row r="107" spans="1:3" x14ac:dyDescent="0.35">
      <c r="A107" s="7">
        <v>42095</v>
      </c>
      <c r="B107">
        <v>89.6666666666666</v>
      </c>
      <c r="C107" s="3">
        <f>Quarterly!F107</f>
        <v>88.101349642423259</v>
      </c>
    </row>
    <row r="108" spans="1:3" x14ac:dyDescent="0.35">
      <c r="A108" s="7">
        <v>42186</v>
      </c>
      <c r="B108">
        <v>83.5</v>
      </c>
      <c r="C108" s="3">
        <f>Quarterly!F108</f>
        <v>80.772752239011069</v>
      </c>
    </row>
    <row r="109" spans="1:3" x14ac:dyDescent="0.35">
      <c r="A109" s="7">
        <v>42278</v>
      </c>
      <c r="B109">
        <v>105.8</v>
      </c>
      <c r="C109" s="3">
        <f>Quarterly!F109</f>
        <v>106.54763111385633</v>
      </c>
    </row>
    <row r="110" spans="1:3" x14ac:dyDescent="0.35">
      <c r="A110" s="7">
        <v>42370</v>
      </c>
      <c r="B110">
        <v>120.23333333333299</v>
      </c>
      <c r="C110" s="3">
        <f>Quarterly!F110</f>
        <v>119.02419272538955</v>
      </c>
    </row>
    <row r="111" spans="1:3" x14ac:dyDescent="0.35">
      <c r="A111" s="7">
        <v>42461</v>
      </c>
      <c r="B111">
        <v>96.266666666666694</v>
      </c>
      <c r="C111" s="3">
        <f>Quarterly!F111</f>
        <v>91.092920022835557</v>
      </c>
    </row>
    <row r="112" spans="1:3" x14ac:dyDescent="0.35">
      <c r="A112" s="7">
        <v>42552</v>
      </c>
      <c r="B112">
        <v>86.133333333333397</v>
      </c>
      <c r="C112" s="3">
        <f>Quarterly!F112</f>
        <v>83.578417617176498</v>
      </c>
    </row>
    <row r="113" spans="1:3" x14ac:dyDescent="0.35">
      <c r="A113" s="7">
        <v>42644</v>
      </c>
      <c r="B113">
        <v>111.866666666667</v>
      </c>
      <c r="C113" s="3">
        <f>Quarterly!F113</f>
        <v>110.32645633724321</v>
      </c>
    </row>
    <row r="114" spans="1:3" x14ac:dyDescent="0.35">
      <c r="A114" s="7">
        <v>42736</v>
      </c>
      <c r="B114">
        <v>117.866666666667</v>
      </c>
      <c r="C114" s="3">
        <f>Quarterly!F114</f>
        <v>120.95679024481478</v>
      </c>
    </row>
    <row r="115" spans="1:3" x14ac:dyDescent="0.35">
      <c r="A115" s="7">
        <v>42826</v>
      </c>
      <c r="B115">
        <v>91.033333333333303</v>
      </c>
      <c r="C115" s="3">
        <f>Quarterly!F115</f>
        <v>92.015151635234872</v>
      </c>
    </row>
    <row r="116" spans="1:3" x14ac:dyDescent="0.35">
      <c r="A116" s="7">
        <v>42917</v>
      </c>
      <c r="B116">
        <v>86.7</v>
      </c>
      <c r="C116" s="3">
        <f>Quarterly!F116</f>
        <v>84.939450658622661</v>
      </c>
    </row>
    <row r="117" spans="1:3" x14ac:dyDescent="0.35">
      <c r="A117" s="7">
        <v>43009</v>
      </c>
      <c r="B117">
        <v>110.366666666667</v>
      </c>
      <c r="C117" s="3">
        <f>Quarterly!F117</f>
        <v>110.59141595348626</v>
      </c>
    </row>
    <row r="118" spans="1:3" x14ac:dyDescent="0.35">
      <c r="A118" s="7">
        <v>43101</v>
      </c>
      <c r="B118">
        <v>122.833333333333</v>
      </c>
      <c r="C118" s="3">
        <f>Quarterly!F118</f>
        <v>122.35445883957787</v>
      </c>
    </row>
    <row r="119" spans="1:3" x14ac:dyDescent="0.35">
      <c r="A119" s="7">
        <v>43191</v>
      </c>
      <c r="B119">
        <v>89.133333333333297</v>
      </c>
      <c r="C119" s="3">
        <f>Quarterly!F119</f>
        <v>92.033262938434646</v>
      </c>
    </row>
    <row r="120" spans="1:3" x14ac:dyDescent="0.35">
      <c r="A120" s="7">
        <v>43282</v>
      </c>
      <c r="B120">
        <v>82.8</v>
      </c>
      <c r="C120" s="3">
        <f>Quarterly!F120</f>
        <v>84.257308321835581</v>
      </c>
    </row>
    <row r="121" spans="1:3" x14ac:dyDescent="0.35">
      <c r="A121" s="7">
        <v>43374</v>
      </c>
      <c r="B121">
        <v>106.333333333333</v>
      </c>
      <c r="C121" s="3">
        <f>Quarterly!F121</f>
        <v>108.73592979474488</v>
      </c>
    </row>
    <row r="122" spans="1:3" x14ac:dyDescent="0.35">
      <c r="A122" s="7">
        <v>43466</v>
      </c>
      <c r="B122">
        <v>114.166666666667</v>
      </c>
      <c r="C122" s="3">
        <f>Quarterly!F122</f>
        <v>118.25674465502661</v>
      </c>
    </row>
    <row r="123" spans="1:3" x14ac:dyDescent="0.35">
      <c r="A123" s="7">
        <v>43556</v>
      </c>
      <c r="B123">
        <v>92.066666666666606</v>
      </c>
      <c r="C123" s="3">
        <f>Quarterly!F123</f>
        <v>90.223153106574813</v>
      </c>
    </row>
    <row r="124" spans="1:3" x14ac:dyDescent="0.35">
      <c r="A124" s="7">
        <v>43647</v>
      </c>
      <c r="B124">
        <v>84.8333333333334</v>
      </c>
      <c r="C124" s="3">
        <f>Quarterly!F124</f>
        <v>83.05844775987633</v>
      </c>
    </row>
    <row r="125" spans="1:3" x14ac:dyDescent="0.35">
      <c r="A125" s="7">
        <v>43739</v>
      </c>
      <c r="B125">
        <v>111.9</v>
      </c>
      <c r="C125" s="3">
        <f>Quarterly!F125</f>
        <v>109.18929089686314</v>
      </c>
    </row>
    <row r="126" spans="1:3" x14ac:dyDescent="0.35">
      <c r="A126" s="7">
        <v>43831</v>
      </c>
      <c r="B126">
        <v>113.966666666667</v>
      </c>
      <c r="C126" s="3">
        <f>Quarterly!F126</f>
        <v>117.47633103567591</v>
      </c>
    </row>
    <row r="127" spans="1:3" x14ac:dyDescent="0.35">
      <c r="A127" s="7">
        <v>43922</v>
      </c>
      <c r="B127">
        <v>83.7</v>
      </c>
      <c r="C127" s="3">
        <f>Quarterly!F127</f>
        <v>87.680974613553573</v>
      </c>
    </row>
    <row r="128" spans="1:3" x14ac:dyDescent="0.35">
      <c r="A128" s="7">
        <v>44013</v>
      </c>
      <c r="B128">
        <v>85.233333333333405</v>
      </c>
      <c r="C128" s="3">
        <f>Quarterly!F128</f>
        <v>82.3761893820257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defaultRowHeight="14.5" x14ac:dyDescent="0.35"/>
  <cols>
    <col min="1" max="1" width="85.7265625" style="1" customWidth="1"/>
    <col min="2" max="2" width="155.8164062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  <row r="10" spans="1:3" ht="58" x14ac:dyDescent="0.35">
      <c r="A1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Quarterly</vt:lpstr>
      <vt:lpstr>TS Plot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Johnson</dc:creator>
  <cp:lastModifiedBy>Craig Johnson</cp:lastModifiedBy>
  <dcterms:created xsi:type="dcterms:W3CDTF">2026-10-20T20:02:37Z</dcterms:created>
  <dcterms:modified xsi:type="dcterms:W3CDTF">2026-10-20T21:30:03Z</dcterms:modified>
</cp:coreProperties>
</file>